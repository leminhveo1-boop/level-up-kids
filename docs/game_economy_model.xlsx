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Level_Curve" sheetId="2" state="visible" r:id="rId4"/>
    <sheet name="Loot_Economy" sheetId="3" state="visible" r:id="rId5"/>
    <sheet name="Buff_Cap" sheetId="4" state="visible" r:id="rId6"/>
    <sheet name="Task_Pric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<sst xmlns="http://schemas.openxmlformats.org/spreadsheetml/2006/main" count="109" uniqueCount="101">
  <si>
    <t xml:space="preserve">MÔ HÌNH KINH TẾ GAME — BẢNG ĐIỀU KHIỂN TRUNG TÂM</t>
  </si>
  <si>
    <t xml:space="preserve">Chỉ chỉnh các ô MÀU XANH (có nền vàng). Mọi sheet khác tự cập nhật theo.</t>
  </si>
  <si>
    <t xml:space="preserve">NHÓM 1 — NỀN TẢNG NỖ LỰC</t>
  </si>
  <si>
    <t xml:space="preserve">Giá trị EXP cho 1 nhiệm vụ trung bình (1 EU)</t>
  </si>
  <si>
    <t xml:space="preserve">EXP</t>
  </si>
  <si>
    <t xml:space="preserve">Neo gốc của cả hệ thống</t>
  </si>
  <si>
    <t xml:space="preserve">Số nhiệm vụ trung bình con làm / ngày</t>
  </si>
  <si>
    <t xml:space="preserve">việc</t>
  </si>
  <si>
    <t xml:space="preserve">Linh hoạt — đây chỉ là ước lượng để mô phỏng</t>
  </si>
  <si>
    <t xml:space="preserve">Số ngày chiến dịch (mùa hè)</t>
  </si>
  <si>
    <t xml:space="preserve">ngày</t>
  </si>
  <si>
    <t xml:space="preserve">Để vẽ đường cong &amp; kiểm tra tiến độ</t>
  </si>
  <si>
    <t xml:space="preserve">NHÓM 2 — ĐƯỜNG CONG CẤP ĐỘ</t>
  </si>
  <si>
    <t xml:space="preserve">EXP cơ sở B</t>
  </si>
  <si>
    <t xml:space="preserve">EXP_cần(n) = B × n^k</t>
  </si>
  <si>
    <t xml:space="preserve">Độ dốc k</t>
  </si>
  <si>
    <t xml:space="preserve">1.0=tuyến tính, 1.5=chuẩn RPG, 2.0=rất dốc</t>
  </si>
  <si>
    <t xml:space="preserve">Cấp tối đa (đỉnh chiến dịch)</t>
  </si>
  <si>
    <t xml:space="preserve">cấp</t>
  </si>
  <si>
    <t xml:space="preserve">NHÓM 3 — KINH TẾ COIN (đào mỏ)</t>
  </si>
  <si>
    <t xml:space="preserve">Năng lượng tối đa / ngày (Daily Cap)</t>
  </si>
  <si>
    <t xml:space="preserve">⚡</t>
  </si>
  <si>
    <t xml:space="preserve">1 năng lượng = 1 cú đập</t>
  </si>
  <si>
    <t xml:space="preserve">Coin/ngày MỤC TIÊU (chưa buff)</t>
  </si>
  <si>
    <t xml:space="preserve">🪙</t>
  </si>
  <si>
    <t xml:space="preserve">Mục tiêu thiết kế — Loot Table sẽ chỉnh theo</t>
  </si>
  <si>
    <t xml:space="preserve">NHÓM 4 — TRẦN HỆ SỐ BUFF</t>
  </si>
  <si>
    <t xml:space="preserve">Trần cộng dồn buff C_cap</t>
  </si>
  <si>
    <t xml:space="preserve">Hệ số tối đa = 1 + C_cap. Vd 1.0 → tối đa x2.0</t>
  </si>
  <si>
    <t xml:space="preserve">NHÓM 5 — ĐỊNH GIÁ QUÀ</t>
  </si>
  <si>
    <t xml:space="preserve">Giá trị quà ĐỈNH (lớn nhất)</t>
  </si>
  <si>
    <t xml:space="preserve">Quy thành coin</t>
  </si>
  <si>
    <t xml:space="preserve">Triết lý thưởng (tham khảo)</t>
  </si>
  <si>
    <t xml:space="preserve">Cân bằng may rủi</t>
  </si>
  <si>
    <t xml:space="preserve">Đã chọn: cân bằng chắc chắn &amp; hồi hộp</t>
  </si>
  <si>
    <t xml:space="preserve">ĐƯỜNG CONG CẤP ĐỘ — EXP_cần(n) = B × n^k</t>
  </si>
  <si>
    <t xml:space="preserve">Cấp (n)</t>
  </si>
  <si>
    <t xml:space="preserve">EXP cần lên cấp</t>
  </si>
  <si>
    <t xml:space="preserve">EXP tích lũy</t>
  </si>
  <si>
    <t xml:space="preserve">Ngày đạt được</t>
  </si>
  <si>
    <t xml:space="preserve">Tuần</t>
  </si>
  <si>
    <t xml:space="preserve">KINH TẾ ĐÀO MỎ — GIÁ TRỊ KỲ VỌNG &amp; HIỆU CHỈNH LẠM PHÁT</t>
  </si>
  <si>
    <t xml:space="preserve">BẢNG LOOT TABLE (chỉnh cột xanh)</t>
  </si>
  <si>
    <t xml:space="preserve">Loại quặng</t>
  </si>
  <si>
    <t xml:space="preserve">Xác suất p</t>
  </si>
  <si>
    <t xml:space="preserve">Coin min</t>
  </si>
  <si>
    <t xml:space="preserve">Coin max</t>
  </si>
  <si>
    <t xml:space="preserve">Coin TB</t>
  </si>
  <si>
    <t xml:space="preserve">Đóng góp E[coin]</t>
  </si>
  <si>
    <t xml:space="preserve">Đá thường</t>
  </si>
  <si>
    <t xml:space="preserve">Quặng Bạc</t>
  </si>
  <si>
    <t xml:space="preserve">Hũ Vàng</t>
  </si>
  <si>
    <t xml:space="preserve">Rương Thần Thoại</t>
  </si>
  <si>
    <t xml:space="preserve">TỔNG</t>
  </si>
  <si>
    <t xml:space="preserve">KIỂM TRA CÂN BẰNG</t>
  </si>
  <si>
    <t xml:space="preserve">E[coin] mỗi cú đập</t>
  </si>
  <si>
    <t xml:space="preserve">Coin tối đa/ngày (full energy, chưa buff)</t>
  </si>
  <si>
    <t xml:space="preserve">⚠️ So sánh dòng này với mục tiêu bên dưới</t>
  </si>
  <si>
    <t xml:space="preserve">Coin/ngày MỤC TIÊU</t>
  </si>
  <si>
    <t xml:space="preserve">Chênh lệch so mục tiêu (&gt;0 = đang lạm phát)</t>
  </si>
  <si>
    <t xml:space="preserve">Nếu &gt;0: giảm xác suất/coin của Vàng &amp; Thần Thoại</t>
  </si>
  <si>
    <t xml:space="preserve">Số ngày nỗ lực để đổi quà ĐỈNH (theo thực tế)</t>
  </si>
  <si>
    <t xml:space="preserve">→ tức khoảng số tuần</t>
  </si>
  <si>
    <t xml:space="preserve">TRẦN HỆ SỐ BUFF — Chuyển từ NHÂN sang CỘNG CÓ TRẦN</t>
  </si>
  <si>
    <t xml:space="preserve">Vấn đề: buff nhân chồng (x2 × x1.5 × ...) khiến coin vọt x3-x4 → mất cân bằng.</t>
  </si>
  <si>
    <t xml:space="preserve">Giải pháp: M_tổng = 1 + MIN( Σ(mᵢ-1) , C_cap )</t>
  </si>
  <si>
    <t xml:space="preserve">Buff</t>
  </si>
  <si>
    <t xml:space="preserve">Hệ số đơn (mᵢ)</t>
  </si>
  <si>
    <t xml:space="preserve">Bật? (1/0)</t>
  </si>
  <si>
    <t xml:space="preserve">Phần vượt (mᵢ-1)</t>
  </si>
  <si>
    <t xml:space="preserve">Critical Chí Mạng</t>
  </si>
  <si>
    <t xml:space="preserve">Streak x2 (7 ngày)</t>
  </si>
  <si>
    <t xml:space="preserve">Buff May Mắn</t>
  </si>
  <si>
    <t xml:space="preserve">Mount +Crit</t>
  </si>
  <si>
    <t xml:space="preserve">Σ phần vượt</t>
  </si>
  <si>
    <t xml:space="preserve">SO SÁNH 2 CÁCH TÍNH</t>
  </si>
  <si>
    <t xml:space="preserve">Cách CŨ (nhân chồng) — KHÔNG kiểm soát</t>
  </si>
  <si>
    <t xml:space="preserve">Trần C_cap (từ Assumptions)</t>
  </si>
  <si>
    <t xml:space="preserve">Cách MỚI (cộng có trần) — ĐỀ XUẤT</t>
  </si>
  <si>
    <t xml:space="preserve">ĐỊNH GIÁ NHIỆM VỤ THEO TRỌNG SỐ — vì nhiệm vụ "linh hoạt"</t>
  </si>
  <si>
    <t xml:space="preserve">Phần thưởng = EU_base × w_độ_khó × w_thời_lượng. Khớp với phân khu Habits/Dailies/To-Dos.</t>
  </si>
  <si>
    <t xml:space="preserve">Nhiệm vụ</t>
  </si>
  <si>
    <t xml:space="preserve">Phân loại</t>
  </si>
  <si>
    <t xml:space="preserve">w độ khó</t>
  </si>
  <si>
    <t xml:space="preserve">w thời lượng</t>
  </si>
  <si>
    <t xml:space="preserve">Coin</t>
  </si>
  <si>
    <t xml:space="preserve">Năng lượng ⚡</t>
  </si>
  <si>
    <t xml:space="preserve">Uống nước</t>
  </si>
  <si>
    <t xml:space="preserve">Habit (+)</t>
  </si>
  <si>
    <t xml:space="preserve">Chào hỏi lễ phép</t>
  </si>
  <si>
    <t xml:space="preserve">Đánh răng</t>
  </si>
  <si>
    <t xml:space="preserve">Daily</t>
  </si>
  <si>
    <t xml:space="preserve">Dọn bàn sau ăn</t>
  </si>
  <si>
    <t xml:space="preserve">Tập thể dục sáng</t>
  </si>
  <si>
    <t xml:space="preserve">Đọc sách 20 phút</t>
  </si>
  <si>
    <t xml:space="preserve">To-Do</t>
  </si>
  <si>
    <t xml:space="preserve">Học Tiếng Anh 20 phút</t>
  </si>
  <si>
    <t xml:space="preserve">Làm bài tập cô giao</t>
  </si>
  <si>
    <t xml:space="preserve">Dọn nhà vệ sinh</t>
  </si>
  <si>
    <t xml:space="preserve">Tổng kiểm tra (nếu làm hết list này 1 ngày):</t>
  </si>
  <si>
    <t xml:space="preserve">Lưu ý: tổng năng lượng ≈ Daily Cap; coin ≈ mục tiêu/ngày. Đó là dấu hiệu cân bằng.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</si>
</sst>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.0"/>
    <numFmt numFmtId="168" formatCode="0.00"/>
    <numFmt numFmtId="169" formatCode="0.00\x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 tích lũy theo cấp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Level_Curve!C3</c:f>
              <c:strCache>
                <c:ptCount val="1"/>
                <c:pt idx="0">
                  <c:v>EXP tích lũy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Level_Curve!$A$4:$A$103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Level_Curve!$C$4:$C$103</c:f>
              <c:numCache>
                <c:formatCode>#,##0</c:formatCode>
                <c:ptCount val="100"/>
                <c:pt idx="0">
                  <c:v>0.093</c:v>
                </c:pt>
                <c:pt idx="1">
                  <c:v>0.356043722601396</c:v>
                </c:pt>
                <c:pt idx="2">
                  <c:v>0.839285897913113</c:v>
                </c:pt>
                <c:pt idx="3">
                  <c:v>1.58328589791311</c:v>
                </c:pt>
                <c:pt idx="4">
                  <c:v>2.62305750745051</c:v>
                </c:pt>
                <c:pt idx="5">
                  <c:v>3.98987278392353</c:v>
                </c:pt>
                <c:pt idx="6">
                  <c:v>5.71225688742658</c:v>
                </c:pt>
                <c:pt idx="7">
                  <c:v>7.81660666823774</c:v>
                </c:pt>
                <c:pt idx="8">
                  <c:v>10.3276066682377</c:v>
                </c:pt>
                <c:pt idx="9">
                  <c:v>13.2685248921943</c:v>
                </c:pt>
                <c:pt idx="10">
                  <c:v>16.6614320527279</c:v>
                </c:pt>
                <c:pt idx="11">
                  <c:v>20.5273694552216</c:v>
                </c:pt>
                <c:pt idx="12">
                  <c:v>24.8864809472576</c:v>
                </c:pt>
                <c:pt idx="13">
                  <c:v>29.7581188648373</c:v>
                </c:pt>
                <c:pt idx="14">
                  <c:v>35.1609306327966</c:v>
                </c:pt>
                <c:pt idx="15">
                  <c:v>41.1129306327966</c:v>
                </c:pt>
                <c:pt idx="16">
                  <c:v>47.6315606268982</c:v>
                </c:pt>
                <c:pt idx="17">
                  <c:v>54.7337411371358</c:v>
                </c:pt>
                <c:pt idx="18">
                  <c:v>62.4359155703722</c:v>
                </c:pt>
                <c:pt idx="19">
                  <c:v>70.7540884466714</c:v>
                </c:pt>
                <c:pt idx="20">
                  <c:v>79.7038587789202</c:v>
                </c:pt>
                <c:pt idx="21">
                  <c:v>89.3004494235189</c:v>
                </c:pt>
                <c:pt idx="22">
                  <c:v>99.5587330518848</c:v>
                </c:pt>
                <c:pt idx="23">
                  <c:v>110.493255263669</c:v>
                </c:pt>
                <c:pt idx="24">
                  <c:v>122.118255263669</c:v>
                </c:pt>
                <c:pt idx="25">
                  <c:v>134.447684447536</c:v>
                </c:pt>
                <c:pt idx="26">
                  <c:v>147.495223180953</c:v>
                </c:pt>
                <c:pt idx="27">
                  <c:v>161.274296008977</c:v>
                </c:pt>
                <c:pt idx="28">
                  <c:v>175.798085493819</c:v>
                </c:pt>
                <c:pt idx="29">
                  <c:v>191.079544848213</c:v>
                </c:pt>
                <c:pt idx="30">
                  <c:v>207.131409506252</c:v>
                </c:pt>
                <c:pt idx="31">
                  <c:v>223.966207752741</c:v>
                </c:pt>
                <c:pt idx="32">
                  <c:v>241.596270514966</c:v>
                </c:pt>
                <c:pt idx="33">
                  <c:v>260.033740406467</c:v>
                </c:pt>
                <c:pt idx="34">
                  <c:v>279.290580100457</c:v>
                </c:pt>
                <c:pt idx="35">
                  <c:v>299.378580100457</c:v>
                </c:pt>
                <c:pt idx="36">
                  <c:v>320.309365967213</c:v>
                </c:pt>
                <c:pt idx="37">
                  <c:v>342.094405053705</c:v>
                </c:pt>
                <c:pt idx="38">
                  <c:v>364.745012793896</c:v>
                </c:pt>
                <c:pt idx="39">
                  <c:v>388.272358585549</c:v>
                </c:pt>
                <c:pt idx="40">
                  <c:v>412.68747130288</c:v>
                </c:pt>
                <c:pt idx="41">
                  <c:v>438.001244470861</c:v>
                </c:pt>
                <c:pt idx="42">
                  <c:v>464.224441129545</c:v>
                </c:pt>
                <c:pt idx="43">
                  <c:v>491.367698413814</c:v>
                </c:pt>
                <c:pt idx="44">
                  <c:v>519.441531871324</c:v>
                </c:pt>
                <c:pt idx="45">
                  <c:v>548.456339539133</c:v>
                </c:pt>
                <c:pt idx="46">
                  <c:v>578.422405797486</c:v>
                </c:pt>
                <c:pt idx="47">
                  <c:v>609.349905017436</c:v>
                </c:pt>
                <c:pt idx="48">
                  <c:v>641.248905017436</c:v>
                </c:pt>
                <c:pt idx="49">
                  <c:v>674.129370342611</c:v>
                </c:pt>
                <c:pt idx="50">
                  <c:v>708.001165379189</c:v>
                </c:pt>
                <c:pt idx="51">
                  <c:v>742.874057315477</c:v>
                </c:pt>
                <c:pt idx="52">
                  <c:v>778.757718959741</c:v>
                </c:pt>
                <c:pt idx="53">
                  <c:v>815.661731424512</c:v>
                </c:pt>
                <c:pt idx="54">
                  <c:v>853.595586686006</c:v>
                </c:pt>
                <c:pt idx="55">
                  <c:v>892.568690026644</c:v>
                </c:pt>
                <c:pt idx="56">
                  <c:v>932.590362368014</c:v>
                </c:pt>
                <c:pt idx="57">
                  <c:v>973.669842501044</c:v>
                </c:pt>
                <c:pt idx="58">
                  <c:v>1015.8162892196</c:v>
                </c:pt>
                <c:pt idx="59">
                  <c:v>1059.03878336327</c:v>
                </c:pt>
                <c:pt idx="60">
                  <c:v>1103.34632977469</c:v>
                </c:pt>
                <c:pt idx="61">
                  <c:v>1148.74785917624</c:v>
                </c:pt>
                <c:pt idx="62">
                  <c:v>1195.25222997083</c:v>
                </c:pt>
                <c:pt idx="63">
                  <c:v>1242.86822997083</c:v>
                </c:pt>
                <c:pt idx="64">
                  <c:v>1291.60457805929</c:v>
                </c:pt>
                <c:pt idx="65">
                  <c:v>1341.46992578695</c:v>
                </c:pt>
                <c:pt idx="66">
                  <c:v>1392.47285890848</c:v>
                </c:pt>
                <c:pt idx="67">
                  <c:v>1444.6218988613</c:v>
                </c:pt>
                <c:pt idx="68">
                  <c:v>1497.92550418964</c:v>
                </c:pt>
                <c:pt idx="69">
                  <c:v>1552.39207191701</c:v>
                </c:pt>
                <c:pt idx="70">
                  <c:v>1608.02993886929</c:v>
                </c:pt>
                <c:pt idx="71">
                  <c:v>1664.84738295119</c:v>
                </c:pt>
                <c:pt idx="72">
                  <c:v>1722.85262437816</c:v>
                </c:pt>
                <c:pt idx="73">
                  <c:v>1782.05382686594</c:v>
                </c:pt>
                <c:pt idx="74">
                  <c:v>1842.45909877991</c:v>
                </c:pt>
                <c:pt idx="75">
                  <c:v>1904.0764942458</c:v>
                </c:pt>
                <c:pt idx="76">
                  <c:v>1966.91401422391</c:v>
                </c:pt>
                <c:pt idx="77">
                  <c:v>2030.97960754826</c:v>
                </c:pt>
                <c:pt idx="78">
                  <c:v>2096.28117193227</c:v>
                </c:pt>
                <c:pt idx="79">
                  <c:v>2162.82655494267</c:v>
                </c:pt>
                <c:pt idx="80">
                  <c:v>2230.62355494267</c:v>
                </c:pt>
                <c:pt idx="81">
                  <c:v>2299.6799220061</c:v>
                </c:pt>
                <c:pt idx="82">
                  <c:v>2370.00335880352</c:v>
                </c:pt>
                <c:pt idx="83">
                  <c:v>2441.60152146151</c:v>
                </c:pt>
                <c:pt idx="84">
                  <c:v>2514.48202039641</c:v>
                </c:pt>
                <c:pt idx="85">
                  <c:v>2588.65242112338</c:v>
                </c:pt>
                <c:pt idx="86">
                  <c:v>2664.12024504192</c:v>
                </c:pt>
                <c:pt idx="87">
                  <c:v>2740.89297019871</c:v>
                </c:pt>
                <c:pt idx="88">
                  <c:v>2818.97803202875</c:v>
                </c:pt>
                <c:pt idx="89">
                  <c:v>2898.38282407557</c:v>
                </c:pt>
                <c:pt idx="90">
                  <c:v>2979.11469869149</c:v>
                </c:pt>
                <c:pt idx="91">
                  <c:v>3061.18096771842</c:v>
                </c:pt>
                <c:pt idx="92">
                  <c:v>3144.58890315025</c:v>
                </c:pt>
                <c:pt idx="93">
                  <c:v>3229.34573777731</c:v>
                </c:pt>
                <c:pt idx="94">
                  <c:v>3315.4586658137</c:v>
                </c:pt>
                <c:pt idx="95">
                  <c:v>3402.93484350797</c:v>
                </c:pt>
                <c:pt idx="96">
                  <c:v>3491.78138973798</c:v>
                </c:pt>
                <c:pt idx="97">
                  <c:v>3582.00538659025</c:v>
                </c:pt>
                <c:pt idx="98">
                  <c:v>3673.61387992466</c:v>
                </c:pt>
                <c:pt idx="99">
                  <c:v>3766.61387992466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639412"/>
        <c:axId val="8410229"/>
      </c:lineChart>
      <c:catAx>
        <c:axId val="796394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0229"/>
        <c:crosses val="autoZero"/>
        <c:auto val="1"/>
        <c:lblAlgn val="ctr"/>
        <c:lblOffset val="100"/>
        <c:noMultiLvlLbl val="0"/>
      </c:catAx>
      <c:valAx>
        <c:axId val="8410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39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15</xdr:col>
      <xdr:colOff>255240</xdr:colOff>
      <xdr:row>16</xdr:row>
      <xdr:rowOff>181800</xdr:rowOff>
    </xdr:to>
    <xdr:graphicFrame>
      <xdr:nvGraphicFramePr>
        <xdr:cNvPr id="0" name="Chart 1"/>
        <xdr:cNvGraphicFramePr/>
      </xdr:nvGraphicFramePr>
      <xdr:xfrm>
        <a:off x="5545440" y="379800"/>
        <a:ext cx="575892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C5" s="6" t="n">
        <v>10</v>
      </c>
      <c r="D5" s="3" t="s">
        <v>4</v>
      </c>
      <c r="E5" s="3" t="s">
        <v>5</v>
      </c>
    </row>
    <row r="6" customFormat="false" ht="15" hidden="false" customHeight="true" outlineLevel="0" collapsed="false">
      <c r="A6" s="5" t="s">
        <v>6</v>
      </c>
      <c r="C6" s="6" t="n">
        <v>5</v>
      </c>
      <c r="D6" s="3" t="s">
        <v>7</v>
      </c>
      <c r="E6" s="3" t="s">
        <v>8</v>
      </c>
    </row>
    <row r="7" customFormat="false" ht="15" hidden="false" customHeight="true" outlineLevel="0" collapsed="false">
      <c r="A7" s="5" t="s">
        <v>9</v>
      </c>
      <c r="C7" s="6" t="n">
        <v>75</v>
      </c>
      <c r="D7" s="3" t="s">
        <v>10</v>
      </c>
      <c r="E7" s="3" t="s">
        <v>11</v>
      </c>
    </row>
    <row r="9" customFormat="false" ht="15" hidden="false" customHeight="true" outlineLevel="0" collapsed="false">
      <c r="A9" s="4" t="s">
        <v>12</v>
      </c>
      <c r="B9" s="4"/>
      <c r="C9" s="4"/>
      <c r="D9" s="4"/>
      <c r="E9" s="4"/>
    </row>
    <row r="10" customFormat="false" ht="15" hidden="false" customHeight="true" outlineLevel="0" collapsed="false">
      <c r="A10" s="5" t="s">
        <v>13</v>
      </c>
      <c r="C10" s="6" t="n">
        <v>0.093</v>
      </c>
      <c r="E10" s="3" t="s">
        <v>14</v>
      </c>
    </row>
    <row r="11" customFormat="false" ht="15" hidden="false" customHeight="true" outlineLevel="0" collapsed="false">
      <c r="A11" s="5" t="s">
        <v>15</v>
      </c>
      <c r="C11" s="6" t="n">
        <v>1.5</v>
      </c>
      <c r="E11" s="3" t="s">
        <v>16</v>
      </c>
    </row>
    <row r="12" customFormat="false" ht="15" hidden="false" customHeight="true" outlineLevel="0" collapsed="false">
      <c r="A12" s="5" t="s">
        <v>17</v>
      </c>
      <c r="C12" s="6" t="n">
        <v>100</v>
      </c>
      <c r="D12" s="3" t="s">
        <v>18</v>
      </c>
    </row>
    <row r="14" customFormat="false" ht="15" hidden="false" customHeight="true" outlineLevel="0" collapsed="false">
      <c r="A14" s="4" t="s">
        <v>19</v>
      </c>
      <c r="B14" s="4"/>
      <c r="C14" s="4"/>
      <c r="D14" s="4"/>
      <c r="E14" s="4"/>
    </row>
    <row r="15" customFormat="false" ht="15" hidden="false" customHeight="true" outlineLevel="0" collapsed="false">
      <c r="A15" s="5" t="s">
        <v>20</v>
      </c>
      <c r="C15" s="6" t="n">
        <v>100</v>
      </c>
      <c r="D15" s="3" t="s">
        <v>21</v>
      </c>
      <c r="E15" s="3" t="s">
        <v>22</v>
      </c>
    </row>
    <row r="16" customFormat="false" ht="15" hidden="false" customHeight="true" outlineLevel="0" collapsed="false">
      <c r="A16" s="5" t="s">
        <v>23</v>
      </c>
      <c r="C16" s="6" t="n">
        <v>250</v>
      </c>
      <c r="D16" s="3" t="s">
        <v>24</v>
      </c>
      <c r="E16" s="3" t="s">
        <v>25</v>
      </c>
    </row>
    <row r="18" customFormat="false" ht="15" hidden="false" customHeight="true" outlineLevel="0" collapsed="false">
      <c r="A18" s="4" t="s">
        <v>26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27</v>
      </c>
      <c r="C19" s="6" t="n">
        <v>1</v>
      </c>
      <c r="E19" s="3" t="s">
        <v>28</v>
      </c>
    </row>
    <row r="21" customFormat="false" ht="15" hidden="false" customHeight="true" outlineLevel="0" collapsed="false">
      <c r="A21" s="4" t="s">
        <v>29</v>
      </c>
      <c r="B21" s="4"/>
      <c r="C21" s="4"/>
      <c r="D21" s="4"/>
      <c r="E21" s="4"/>
    </row>
    <row r="22" customFormat="false" ht="15" hidden="false" customHeight="true" outlineLevel="0" collapsed="false">
      <c r="A22" s="5" t="s">
        <v>30</v>
      </c>
      <c r="C22" s="6" t="n">
        <v>3500</v>
      </c>
      <c r="D22" s="3" t="s">
        <v>24</v>
      </c>
      <c r="E22" s="3" t="s">
        <v>31</v>
      </c>
    </row>
    <row r="23" customFormat="false" ht="15" hidden="false" customHeight="true" outlineLevel="0" collapsed="false">
      <c r="A23" s="5" t="s">
        <v>32</v>
      </c>
      <c r="C23" s="6" t="s">
        <v>33</v>
      </c>
      <c r="E23" s="3" t="s">
        <v>34</v>
      </c>
    </row>
  </sheetData>
  <mergeCells count="5">
    <mergeCell ref="A4:E4"/>
    <mergeCell ref="A9:E9"/>
    <mergeCell ref="A14:E14"/>
    <mergeCell ref="A18:E18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7" t="s">
        <v>36</v>
      </c>
      <c r="B3" s="7" t="s">
        <v>37</v>
      </c>
      <c r="C3" s="7" t="s">
        <v>38</v>
      </c>
      <c r="D3" s="7" t="s">
        <v>39</v>
      </c>
      <c r="E3" s="7" t="s">
        <v>40</v>
      </c>
    </row>
    <row r="4" customFormat="false" ht="15" hidden="false" customHeight="true" outlineLevel="0" collapsed="false">
      <c r="A4" s="5" t="n">
        <v>1</v>
      </c>
      <c r="B4" s="8" t="n">
        <f aca="false">Assumptions!$C$10*A4^Assumptions!$C$11</f>
        <v>0.093</v>
      </c>
      <c r="C4" s="8" t="n">
        <f aca="false">B4</f>
        <v>0.093</v>
      </c>
      <c r="D4" s="8" t="n">
        <f aca="false">C4/(Assumptions!$C$5*Assumptions!$C$6)</f>
        <v>0.00186</v>
      </c>
      <c r="E4" s="8" t="n">
        <f aca="false">D4/7</f>
        <v>0.000265714285714286</v>
      </c>
    </row>
    <row r="5" customFormat="false" ht="15" hidden="false" customHeight="true" outlineLevel="0" collapsed="false">
      <c r="A5" s="5" t="n">
        <v>2</v>
      </c>
      <c r="B5" s="8" t="n">
        <f aca="false">Assumptions!$C$10*A5^Assumptions!$C$11</f>
        <v>0.263043722601396</v>
      </c>
      <c r="C5" s="8" t="n">
        <f aca="false">C4+B5</f>
        <v>0.356043722601396</v>
      </c>
      <c r="D5" s="8" t="n">
        <f aca="false">C5/(Assumptions!$C$5*Assumptions!$C$6)</f>
        <v>0.00712087445202791</v>
      </c>
      <c r="E5" s="8" t="n">
        <f aca="false">D5/7</f>
        <v>0.00101726777886113</v>
      </c>
    </row>
    <row r="6" customFormat="false" ht="15" hidden="false" customHeight="true" outlineLevel="0" collapsed="false">
      <c r="A6" s="5" t="n">
        <v>3</v>
      </c>
      <c r="B6" s="8" t="n">
        <f aca="false">Assumptions!$C$10*A6^Assumptions!$C$11</f>
        <v>0.483242175311717</v>
      </c>
      <c r="C6" s="8" t="n">
        <f aca="false">C5+B6</f>
        <v>0.839285897913113</v>
      </c>
      <c r="D6" s="8" t="n">
        <f aca="false">C6/(Assumptions!$C$5*Assumptions!$C$6)</f>
        <v>0.0167857179582623</v>
      </c>
      <c r="E6" s="8" t="n">
        <f aca="false">D6/7</f>
        <v>0.00239795970832318</v>
      </c>
    </row>
    <row r="7" customFormat="false" ht="15" hidden="false" customHeight="true" outlineLevel="0" collapsed="false">
      <c r="A7" s="5" t="n">
        <v>4</v>
      </c>
      <c r="B7" s="8" t="n">
        <f aca="false">Assumptions!$C$10*A7^Assumptions!$C$11</f>
        <v>0.744</v>
      </c>
      <c r="C7" s="8" t="n">
        <f aca="false">C6+B7</f>
        <v>1.58328589791311</v>
      </c>
      <c r="D7" s="8" t="n">
        <f aca="false">C7/(Assumptions!$C$5*Assumptions!$C$6)</f>
        <v>0.0316657179582623</v>
      </c>
      <c r="E7" s="8" t="n">
        <f aca="false">D7/7</f>
        <v>0.00452367399403746</v>
      </c>
    </row>
    <row r="8" customFormat="false" ht="15" hidden="false" customHeight="true" outlineLevel="0" collapsed="false">
      <c r="A8" s="5" t="n">
        <v>5</v>
      </c>
      <c r="B8" s="8" t="n">
        <f aca="false">Assumptions!$C$10*A8^Assumptions!$C$11</f>
        <v>1.0397716095374</v>
      </c>
      <c r="C8" s="8" t="n">
        <f aca="false">C7+B8</f>
        <v>2.62305750745051</v>
      </c>
      <c r="D8" s="8" t="n">
        <f aca="false">C8/(Assumptions!$C$5*Assumptions!$C$6)</f>
        <v>0.0524611501490103</v>
      </c>
      <c r="E8" s="8" t="n">
        <f aca="false">D8/7</f>
        <v>0.00749445002128719</v>
      </c>
    </row>
    <row r="9" customFormat="false" ht="15" hidden="false" customHeight="true" outlineLevel="0" collapsed="false">
      <c r="A9" s="5" t="n">
        <v>6</v>
      </c>
      <c r="B9" s="8" t="n">
        <f aca="false">Assumptions!$C$10*A9^Assumptions!$C$11</f>
        <v>1.36681527647301</v>
      </c>
      <c r="C9" s="8" t="n">
        <f aca="false">C8+B9</f>
        <v>3.98987278392353</v>
      </c>
      <c r="D9" s="8" t="n">
        <f aca="false">C9/(Assumptions!$C$5*Assumptions!$C$6)</f>
        <v>0.0797974556784706</v>
      </c>
      <c r="E9" s="8" t="n">
        <f aca="false">D9/7</f>
        <v>0.0113996365254958</v>
      </c>
    </row>
    <row r="10" customFormat="false" ht="15" hidden="false" customHeight="true" outlineLevel="0" collapsed="false">
      <c r="A10" s="5" t="n">
        <v>7</v>
      </c>
      <c r="B10" s="8" t="n">
        <f aca="false">Assumptions!$C$10*A10^Assumptions!$C$11</f>
        <v>1.72238410350305</v>
      </c>
      <c r="C10" s="8" t="n">
        <f aca="false">C9+B10</f>
        <v>5.71225688742658</v>
      </c>
      <c r="D10" s="8" t="n">
        <f aca="false">C10/(Assumptions!$C$5*Assumptions!$C$6)</f>
        <v>0.114245137748532</v>
      </c>
      <c r="E10" s="8" t="n">
        <f aca="false">D10/7</f>
        <v>0.0163207339640759</v>
      </c>
    </row>
    <row r="11" customFormat="false" ht="15" hidden="false" customHeight="true" outlineLevel="0" collapsed="false">
      <c r="A11" s="5" t="n">
        <v>8</v>
      </c>
      <c r="B11" s="8" t="n">
        <f aca="false">Assumptions!$C$10*A11^Assumptions!$C$11</f>
        <v>2.10434978081117</v>
      </c>
      <c r="C11" s="8" t="n">
        <f aca="false">C10+B11</f>
        <v>7.81660666823774</v>
      </c>
      <c r="D11" s="8" t="n">
        <f aca="false">C11/(Assumptions!$C$5*Assumptions!$C$6)</f>
        <v>0.156332133364755</v>
      </c>
      <c r="E11" s="8" t="n">
        <f aca="false">D11/7</f>
        <v>0.0223331619092507</v>
      </c>
    </row>
    <row r="12" customFormat="false" ht="15" hidden="false" customHeight="true" outlineLevel="0" collapsed="false">
      <c r="A12" s="5" t="n">
        <v>9</v>
      </c>
      <c r="B12" s="8" t="n">
        <f aca="false">Assumptions!$C$10*A12^Assumptions!$C$11</f>
        <v>2.511</v>
      </c>
      <c r="C12" s="8" t="n">
        <f aca="false">C11+B12</f>
        <v>10.3276066682377</v>
      </c>
      <c r="D12" s="8" t="n">
        <f aca="false">C12/(Assumptions!$C$5*Assumptions!$C$6)</f>
        <v>0.206552133364755</v>
      </c>
      <c r="E12" s="8" t="n">
        <f aca="false">D12/7</f>
        <v>0.0295074476235364</v>
      </c>
    </row>
    <row r="13" customFormat="false" ht="15" hidden="false" customHeight="true" outlineLevel="0" collapsed="false">
      <c r="A13" s="5" t="n">
        <v>10</v>
      </c>
      <c r="B13" s="8" t="n">
        <f aca="false">Assumptions!$C$10*A13^Assumptions!$C$11</f>
        <v>2.94091822395659</v>
      </c>
      <c r="C13" s="8" t="n">
        <f aca="false">C12+B13</f>
        <v>13.2685248921943</v>
      </c>
      <c r="D13" s="8" t="n">
        <f aca="false">C13/(Assumptions!$C$5*Assumptions!$C$6)</f>
        <v>0.265370497843887</v>
      </c>
      <c r="E13" s="8" t="n">
        <f aca="false">D13/7</f>
        <v>0.0379100711205552</v>
      </c>
    </row>
    <row r="14" customFormat="false" ht="15" hidden="false" customHeight="true" outlineLevel="0" collapsed="false">
      <c r="A14" s="5" t="n">
        <v>11</v>
      </c>
      <c r="B14" s="8" t="n">
        <f aca="false">Assumptions!$C$10*A14^Assumptions!$C$11</f>
        <v>3.39290716053357</v>
      </c>
      <c r="C14" s="8" t="n">
        <f aca="false">C13+B14</f>
        <v>16.6614320527279</v>
      </c>
      <c r="D14" s="8" t="n">
        <f aca="false">C14/(Assumptions!$C$5*Assumptions!$C$6)</f>
        <v>0.333228641054558</v>
      </c>
      <c r="E14" s="8" t="n">
        <f aca="false">D14/7</f>
        <v>0.0476040915792226</v>
      </c>
    </row>
    <row r="15" customFormat="false" ht="15" hidden="false" customHeight="true" outlineLevel="0" collapsed="false">
      <c r="A15" s="5" t="n">
        <v>12</v>
      </c>
      <c r="B15" s="8" t="n">
        <f aca="false">Assumptions!$C$10*A15^Assumptions!$C$11</f>
        <v>3.86593740249373</v>
      </c>
      <c r="C15" s="8" t="n">
        <f aca="false">C14+B15</f>
        <v>20.5273694552216</v>
      </c>
      <c r="D15" s="8" t="n">
        <f aca="false">C15/(Assumptions!$C$5*Assumptions!$C$6)</f>
        <v>0.410547389104433</v>
      </c>
      <c r="E15" s="8" t="n">
        <f aca="false">D15/7</f>
        <v>0.058649627014919</v>
      </c>
    </row>
    <row r="16" customFormat="false" ht="15" hidden="false" customHeight="true" outlineLevel="0" collapsed="false">
      <c r="A16" s="5" t="n">
        <v>13</v>
      </c>
      <c r="B16" s="8" t="n">
        <f aca="false">Assumptions!$C$10*A16^Assumptions!$C$11</f>
        <v>4.35911149203596</v>
      </c>
      <c r="C16" s="8" t="n">
        <f aca="false">C15+B16</f>
        <v>24.8864809472576</v>
      </c>
      <c r="D16" s="8" t="n">
        <f aca="false">C16/(Assumptions!$C$5*Assumptions!$C$6)</f>
        <v>0.497729618945152</v>
      </c>
      <c r="E16" s="8" t="n">
        <f aca="false">D16/7</f>
        <v>0.0711042312778789</v>
      </c>
    </row>
    <row r="17" customFormat="false" ht="15" hidden="false" customHeight="true" outlineLevel="0" collapsed="false">
      <c r="A17" s="5" t="n">
        <v>14</v>
      </c>
      <c r="B17" s="8" t="n">
        <f aca="false">Assumptions!$C$10*A17^Assumptions!$C$11</f>
        <v>4.87163791757967</v>
      </c>
      <c r="C17" s="8" t="n">
        <f aca="false">C16+B17</f>
        <v>29.7581188648373</v>
      </c>
      <c r="D17" s="8" t="n">
        <f aca="false">C17/(Assumptions!$C$5*Assumptions!$C$6)</f>
        <v>0.595162377296746</v>
      </c>
      <c r="E17" s="8" t="n">
        <f aca="false">D17/7</f>
        <v>0.0850231967566779</v>
      </c>
    </row>
    <row r="18" customFormat="false" ht="15" hidden="false" customHeight="true" outlineLevel="0" collapsed="false">
      <c r="A18" s="5" t="n">
        <v>15</v>
      </c>
      <c r="B18" s="8" t="n">
        <f aca="false">Assumptions!$C$10*A18^Assumptions!$C$11</f>
        <v>5.40281176795935</v>
      </c>
      <c r="C18" s="8" t="n">
        <f aca="false">C17+B18</f>
        <v>35.1609306327966</v>
      </c>
      <c r="D18" s="8" t="n">
        <f aca="false">C18/(Assumptions!$C$5*Assumptions!$C$6)</f>
        <v>0.703218612655933</v>
      </c>
      <c r="E18" s="8" t="n">
        <f aca="false">D18/7</f>
        <v>0.10045980180799</v>
      </c>
    </row>
    <row r="19" customFormat="false" ht="15" hidden="false" customHeight="true" outlineLevel="0" collapsed="false">
      <c r="A19" s="5" t="n">
        <v>16</v>
      </c>
      <c r="B19" s="8" t="n">
        <f aca="false">Assumptions!$C$10*A19^Assumptions!$C$11</f>
        <v>5.952</v>
      </c>
      <c r="C19" s="8" t="n">
        <f aca="false">C18+B19</f>
        <v>41.1129306327966</v>
      </c>
      <c r="D19" s="8" t="n">
        <f aca="false">C19/(Assumptions!$C$5*Assumptions!$C$6)</f>
        <v>0.822258612655933</v>
      </c>
      <c r="E19" s="8" t="n">
        <f aca="false">D19/7</f>
        <v>0.117465516093705</v>
      </c>
    </row>
    <row r="20" customFormat="false" ht="15" hidden="false" customHeight="true" outlineLevel="0" collapsed="false">
      <c r="A20" s="5" t="n">
        <v>17</v>
      </c>
      <c r="B20" s="8" t="n">
        <f aca="false">Assumptions!$C$10*A20^Assumptions!$C$11</f>
        <v>6.51862999410152</v>
      </c>
      <c r="C20" s="8" t="n">
        <f aca="false">C19+B20</f>
        <v>47.6315606268982</v>
      </c>
      <c r="D20" s="8" t="n">
        <f aca="false">C20/(Assumptions!$C$5*Assumptions!$C$6)</f>
        <v>0.952631212537963</v>
      </c>
      <c r="E20" s="8" t="n">
        <f aca="false">D20/7</f>
        <v>0.136090173219709</v>
      </c>
    </row>
    <row r="21" customFormat="false" ht="15" hidden="false" customHeight="true" outlineLevel="0" collapsed="false">
      <c r="A21" s="5" t="n">
        <v>18</v>
      </c>
      <c r="B21" s="8" t="n">
        <f aca="false">Assumptions!$C$10*A21^Assumptions!$C$11</f>
        <v>7.10218051023768</v>
      </c>
      <c r="C21" s="8" t="n">
        <f aca="false">C20+B21</f>
        <v>54.7337411371358</v>
      </c>
      <c r="D21" s="8" t="n">
        <f aca="false">C21/(Assumptions!$C$5*Assumptions!$C$6)</f>
        <v>1.09467482274272</v>
      </c>
      <c r="E21" s="8" t="n">
        <f aca="false">D21/7</f>
        <v>0.156382117534674</v>
      </c>
    </row>
    <row r="22" customFormat="false" ht="15" hidden="false" customHeight="true" outlineLevel="0" collapsed="false">
      <c r="A22" s="5" t="n">
        <v>19</v>
      </c>
      <c r="B22" s="8" t="n">
        <f aca="false">Assumptions!$C$10*A22^Assumptions!$C$11</f>
        <v>7.70217443323637</v>
      </c>
      <c r="C22" s="8" t="n">
        <f aca="false">C21+B22</f>
        <v>62.4359155703722</v>
      </c>
      <c r="D22" s="8" t="n">
        <f aca="false">C22/(Assumptions!$C$5*Assumptions!$C$6)</f>
        <v>1.24871831140744</v>
      </c>
      <c r="E22" s="8" t="n">
        <f aca="false">D22/7</f>
        <v>0.178388330201063</v>
      </c>
    </row>
    <row r="23" customFormat="false" ht="15" hidden="false" customHeight="true" outlineLevel="0" collapsed="false">
      <c r="A23" s="5" t="n">
        <v>20</v>
      </c>
      <c r="B23" s="8" t="n">
        <f aca="false">Assumptions!$C$10*A23^Assumptions!$C$11</f>
        <v>8.31817287629922</v>
      </c>
      <c r="C23" s="8" t="n">
        <f aca="false">C22+B23</f>
        <v>70.7540884466714</v>
      </c>
      <c r="D23" s="8" t="n">
        <f aca="false">C23/(Assumptions!$C$5*Assumptions!$C$6)</f>
        <v>1.41508176893343</v>
      </c>
      <c r="E23" s="8" t="n">
        <f aca="false">D23/7</f>
        <v>0.202154538419061</v>
      </c>
    </row>
    <row r="24" customFormat="false" ht="15" hidden="false" customHeight="true" outlineLevel="0" collapsed="false">
      <c r="A24" s="5" t="n">
        <v>21</v>
      </c>
      <c r="B24" s="8" t="n">
        <f aca="false">Assumptions!$C$10*A24^Assumptions!$C$11</f>
        <v>8.94977033224876</v>
      </c>
      <c r="C24" s="8" t="n">
        <f aca="false">C23+B24</f>
        <v>79.7038587789202</v>
      </c>
      <c r="D24" s="8" t="n">
        <f aca="false">C24/(Assumptions!$C$5*Assumptions!$C$6)</f>
        <v>1.5940771755784</v>
      </c>
      <c r="E24" s="8" t="n">
        <f aca="false">D24/7</f>
        <v>0.227725310796915</v>
      </c>
    </row>
    <row r="25" customFormat="false" ht="15" hidden="false" customHeight="true" outlineLevel="0" collapsed="false">
      <c r="A25" s="5" t="n">
        <v>22</v>
      </c>
      <c r="B25" s="8" t="n">
        <f aca="false">Assumptions!$C$10*A25^Assumptions!$C$11</f>
        <v>9.59659064459874</v>
      </c>
      <c r="C25" s="8" t="n">
        <f aca="false">C24+B25</f>
        <v>89.3004494235189</v>
      </c>
      <c r="D25" s="8" t="n">
        <f aca="false">C25/(Assumptions!$C$5*Assumptions!$C$6)</f>
        <v>1.78600898847038</v>
      </c>
      <c r="E25" s="8" t="n">
        <f aca="false">D25/7</f>
        <v>0.255144141210054</v>
      </c>
    </row>
    <row r="26" customFormat="false" ht="15" hidden="false" customHeight="true" outlineLevel="0" collapsed="false">
      <c r="A26" s="5" t="n">
        <v>23</v>
      </c>
      <c r="B26" s="8" t="n">
        <f aca="false">Assumptions!$C$10*A26^Assumptions!$C$11</f>
        <v>10.2582836283659</v>
      </c>
      <c r="C26" s="8" t="n">
        <f aca="false">C25+B26</f>
        <v>99.5587330518848</v>
      </c>
      <c r="D26" s="8" t="n">
        <f aca="false">C26/(Assumptions!$C$5*Assumptions!$C$6)</f>
        <v>1.9911746610377</v>
      </c>
      <c r="E26" s="8" t="n">
        <f aca="false">D26/7</f>
        <v>0.284453523005385</v>
      </c>
    </row>
    <row r="27" customFormat="false" ht="15" hidden="false" customHeight="true" outlineLevel="0" collapsed="false">
      <c r="A27" s="5" t="n">
        <v>24</v>
      </c>
      <c r="B27" s="8" t="n">
        <f aca="false">Assumptions!$C$10*A27^Assumptions!$C$11</f>
        <v>10.9345222117841</v>
      </c>
      <c r="C27" s="8" t="n">
        <f aca="false">C26+B27</f>
        <v>110.493255263669</v>
      </c>
      <c r="D27" s="8" t="n">
        <f aca="false">C27/(Assumptions!$C$5*Assumptions!$C$6)</f>
        <v>2.20986510527338</v>
      </c>
      <c r="E27" s="8" t="n">
        <f aca="false">D27/7</f>
        <v>0.315695015039054</v>
      </c>
    </row>
    <row r="28" customFormat="false" ht="15" hidden="false" customHeight="true" outlineLevel="0" collapsed="false">
      <c r="A28" s="5" t="n">
        <v>25</v>
      </c>
      <c r="B28" s="8" t="n">
        <f aca="false">Assumptions!$C$10*A28^Assumptions!$C$11</f>
        <v>11.625</v>
      </c>
      <c r="C28" s="8" t="n">
        <f aca="false">C27+B28</f>
        <v>122.118255263669</v>
      </c>
      <c r="D28" s="8" t="n">
        <f aca="false">C28/(Assumptions!$C$5*Assumptions!$C$6)</f>
        <v>2.44236510527338</v>
      </c>
      <c r="E28" s="8" t="n">
        <f aca="false">D28/7</f>
        <v>0.34890930075334</v>
      </c>
    </row>
    <row r="29" customFormat="false" ht="15" hidden="false" customHeight="true" outlineLevel="0" collapsed="false">
      <c r="A29" s="5" t="n">
        <v>26</v>
      </c>
      <c r="B29" s="8" t="n">
        <f aca="false">Assumptions!$C$10*A29^Assumptions!$C$11</f>
        <v>12.3294291838674</v>
      </c>
      <c r="C29" s="8" t="n">
        <f aca="false">C28+B29</f>
        <v>134.447684447536</v>
      </c>
      <c r="D29" s="8" t="n">
        <f aca="false">C29/(Assumptions!$C$5*Assumptions!$C$6)</f>
        <v>2.68895368895073</v>
      </c>
      <c r="E29" s="8" t="n">
        <f aca="false">D29/7</f>
        <v>0.384136241278675</v>
      </c>
    </row>
    <row r="30" customFormat="false" ht="15" hidden="false" customHeight="true" outlineLevel="0" collapsed="false">
      <c r="A30" s="5" t="n">
        <v>27</v>
      </c>
      <c r="B30" s="8" t="n">
        <f aca="false">Assumptions!$C$10*A30^Assumptions!$C$11</f>
        <v>13.0475387334164</v>
      </c>
      <c r="C30" s="8" t="n">
        <f aca="false">C29+B30</f>
        <v>147.495223180953</v>
      </c>
      <c r="D30" s="8" t="n">
        <f aca="false">C30/(Assumptions!$C$5*Assumptions!$C$6)</f>
        <v>2.94990446361905</v>
      </c>
      <c r="E30" s="8" t="n">
        <f aca="false">D30/7</f>
        <v>0.42141492337415</v>
      </c>
    </row>
    <row r="31" customFormat="false" ht="15" hidden="false" customHeight="true" outlineLevel="0" collapsed="false">
      <c r="A31" s="5" t="n">
        <v>28</v>
      </c>
      <c r="B31" s="8" t="n">
        <f aca="false">Assumptions!$C$10*A31^Assumptions!$C$11</f>
        <v>13.7790728280244</v>
      </c>
      <c r="C31" s="8" t="n">
        <f aca="false">C30+B31</f>
        <v>161.274296008977</v>
      </c>
      <c r="D31" s="8" t="n">
        <f aca="false">C31/(Assumptions!$C$5*Assumptions!$C$6)</f>
        <v>3.22548592017954</v>
      </c>
      <c r="E31" s="8" t="n">
        <f aca="false">D31/7</f>
        <v>0.460783702882792</v>
      </c>
    </row>
    <row r="32" customFormat="false" ht="15" hidden="false" customHeight="true" outlineLevel="0" collapsed="false">
      <c r="A32" s="5" t="n">
        <v>29</v>
      </c>
      <c r="B32" s="8" t="n">
        <f aca="false">Assumptions!$C$10*A32^Assumptions!$C$11</f>
        <v>14.5237894848418</v>
      </c>
      <c r="C32" s="8" t="n">
        <f aca="false">C31+B32</f>
        <v>175.798085493819</v>
      </c>
      <c r="D32" s="8" t="n">
        <f aca="false">C32/(Assumptions!$C$5*Assumptions!$C$6)</f>
        <v>3.51596170987638</v>
      </c>
      <c r="E32" s="8" t="n">
        <f aca="false">D32/7</f>
        <v>0.502280244268054</v>
      </c>
    </row>
    <row r="33" customFormat="false" ht="15" hidden="false" customHeight="true" outlineLevel="0" collapsed="false">
      <c r="A33" s="5" t="n">
        <v>30</v>
      </c>
      <c r="B33" s="8" t="n">
        <f aca="false">Assumptions!$C$10*A33^Assumptions!$C$11</f>
        <v>15.2814593543941</v>
      </c>
      <c r="C33" s="8" t="n">
        <f aca="false">C32+B33</f>
        <v>191.079544848213</v>
      </c>
      <c r="D33" s="8" t="n">
        <f aca="false">C33/(Assumptions!$C$5*Assumptions!$C$6)</f>
        <v>3.82159089696426</v>
      </c>
      <c r="E33" s="8" t="n">
        <f aca="false">D33/7</f>
        <v>0.54594155670918</v>
      </c>
    </row>
    <row r="34" customFormat="false" ht="15" hidden="false" customHeight="true" outlineLevel="0" collapsed="false">
      <c r="A34" s="5" t="n">
        <v>31</v>
      </c>
      <c r="B34" s="8" t="n">
        <f aca="false">Assumptions!$C$10*A34^Assumptions!$C$11</f>
        <v>16.051864658039</v>
      </c>
      <c r="C34" s="8" t="n">
        <f aca="false">C33+B34</f>
        <v>207.131409506252</v>
      </c>
      <c r="D34" s="8" t="n">
        <f aca="false">C34/(Assumptions!$C$5*Assumptions!$C$6)</f>
        <v>4.14262819012504</v>
      </c>
      <c r="E34" s="8" t="n">
        <f aca="false">D34/7</f>
        <v>0.59180402716072</v>
      </c>
    </row>
    <row r="35" customFormat="false" ht="15" hidden="false" customHeight="true" outlineLevel="0" collapsed="false">
      <c r="A35" s="5" t="n">
        <v>32</v>
      </c>
      <c r="B35" s="8" t="n">
        <f aca="false">Assumptions!$C$10*A35^Assumptions!$C$11</f>
        <v>16.8347982464893</v>
      </c>
      <c r="C35" s="8" t="n">
        <f aca="false">C34+B35</f>
        <v>223.966207752741</v>
      </c>
      <c r="D35" s="8" t="n">
        <f aca="false">C35/(Assumptions!$C$5*Assumptions!$C$6)</f>
        <v>4.47932415505482</v>
      </c>
      <c r="E35" s="8" t="n">
        <f aca="false">D35/7</f>
        <v>0.639903450722118</v>
      </c>
    </row>
    <row r="36" customFormat="false" ht="15" hidden="false" customHeight="true" outlineLevel="0" collapsed="false">
      <c r="A36" s="5" t="n">
        <v>33</v>
      </c>
      <c r="B36" s="8" t="n">
        <f aca="false">Assumptions!$C$10*A36^Assumptions!$C$11</f>
        <v>17.6300627622252</v>
      </c>
      <c r="C36" s="8" t="n">
        <f aca="false">C35+B36</f>
        <v>241.596270514966</v>
      </c>
      <c r="D36" s="8" t="n">
        <f aca="false">C36/(Assumptions!$C$5*Assumptions!$C$6)</f>
        <v>4.83192541029933</v>
      </c>
      <c r="E36" s="8" t="n">
        <f aca="false">D36/7</f>
        <v>0.69027505861419</v>
      </c>
    </row>
    <row r="37" customFormat="false" ht="15" hidden="false" customHeight="true" outlineLevel="0" collapsed="false">
      <c r="A37" s="5" t="n">
        <v>34</v>
      </c>
      <c r="B37" s="8" t="n">
        <f aca="false">Assumptions!$C$10*A37^Assumptions!$C$11</f>
        <v>18.4374698915008</v>
      </c>
      <c r="C37" s="8" t="n">
        <f aca="false">C36+B37</f>
        <v>260.033740406467</v>
      </c>
      <c r="D37" s="8" t="n">
        <f aca="false">C37/(Assumptions!$C$5*Assumptions!$C$6)</f>
        <v>5.20067480812935</v>
      </c>
      <c r="E37" s="8" t="n">
        <f aca="false">D37/7</f>
        <v>0.742953544018478</v>
      </c>
    </row>
    <row r="38" customFormat="false" ht="15" hidden="false" customHeight="true" outlineLevel="0" collapsed="false">
      <c r="A38" s="5" t="n">
        <v>35</v>
      </c>
      <c r="B38" s="8" t="n">
        <f aca="false">Assumptions!$C$10*A38^Assumptions!$C$11</f>
        <v>19.2568396939893</v>
      </c>
      <c r="C38" s="8" t="n">
        <f aca="false">C37+B38</f>
        <v>279.290580100457</v>
      </c>
      <c r="D38" s="8" t="n">
        <f aca="false">C38/(Assumptions!$C$5*Assumptions!$C$6)</f>
        <v>5.58581160200913</v>
      </c>
      <c r="E38" s="8" t="n">
        <f aca="false">D38/7</f>
        <v>0.797973086001304</v>
      </c>
    </row>
    <row r="39" customFormat="false" ht="15" hidden="false" customHeight="true" outlineLevel="0" collapsed="false">
      <c r="A39" s="5" t="n">
        <v>36</v>
      </c>
      <c r="B39" s="8" t="n">
        <f aca="false">Assumptions!$C$10*A39^Assumptions!$C$11</f>
        <v>20.088</v>
      </c>
      <c r="C39" s="8" t="n">
        <f aca="false">C38+B39</f>
        <v>299.378580100457</v>
      </c>
      <c r="D39" s="8" t="n">
        <f aca="false">C39/(Assumptions!$C$5*Assumptions!$C$6)</f>
        <v>5.98757160200913</v>
      </c>
      <c r="E39" s="8" t="n">
        <f aca="false">D39/7</f>
        <v>0.85536737171559</v>
      </c>
    </row>
    <row r="40" customFormat="false" ht="15" hidden="false" customHeight="true" outlineLevel="0" collapsed="false">
      <c r="A40" s="5" t="n">
        <v>37</v>
      </c>
      <c r="B40" s="8" t="n">
        <f aca="false">Assumptions!$C$10*A40^Assumptions!$C$11</f>
        <v>20.9307858667562</v>
      </c>
      <c r="C40" s="8" t="n">
        <f aca="false">C39+B40</f>
        <v>320.309365967213</v>
      </c>
      <c r="D40" s="8" t="n">
        <f aca="false">C40/(Assumptions!$C$5*Assumptions!$C$6)</f>
        <v>6.40618731934425</v>
      </c>
      <c r="E40" s="8" t="n">
        <f aca="false">D40/7</f>
        <v>0.915169617049179</v>
      </c>
    </row>
    <row r="41" customFormat="false" ht="15" hidden="false" customHeight="true" outlineLevel="0" collapsed="false">
      <c r="A41" s="5" t="n">
        <v>38</v>
      </c>
      <c r="B41" s="8" t="n">
        <f aca="false">Assumptions!$C$10*A41^Assumptions!$C$11</f>
        <v>21.7850390864924</v>
      </c>
      <c r="C41" s="8" t="n">
        <f aca="false">C40+B41</f>
        <v>342.094405053705</v>
      </c>
      <c r="D41" s="8" t="n">
        <f aca="false">C41/(Assumptions!$C$5*Assumptions!$C$6)</f>
        <v>6.8418881010741</v>
      </c>
      <c r="E41" s="8" t="n">
        <f aca="false">D41/7</f>
        <v>0.977412585867729</v>
      </c>
    </row>
    <row r="42" customFormat="false" ht="15" hidden="false" customHeight="true" outlineLevel="0" collapsed="false">
      <c r="A42" s="5" t="n">
        <v>39</v>
      </c>
      <c r="B42" s="8" t="n">
        <f aca="false">Assumptions!$C$10*A42^Assumptions!$C$11</f>
        <v>22.650607740191</v>
      </c>
      <c r="C42" s="8" t="n">
        <f aca="false">C41+B42</f>
        <v>364.745012793896</v>
      </c>
      <c r="D42" s="8" t="n">
        <f aca="false">C42/(Assumptions!$C$5*Assumptions!$C$6)</f>
        <v>7.29490025587792</v>
      </c>
      <c r="E42" s="8" t="n">
        <f aca="false">D42/7</f>
        <v>1.04212860798256</v>
      </c>
    </row>
    <row r="43" customFormat="false" ht="15" hidden="false" customHeight="true" outlineLevel="0" collapsed="false">
      <c r="A43" s="5" t="n">
        <v>40</v>
      </c>
      <c r="B43" s="8" t="n">
        <f aca="false">Assumptions!$C$10*A43^Assumptions!$C$11</f>
        <v>23.5273457916527</v>
      </c>
      <c r="C43" s="8" t="n">
        <f aca="false">C42+B43</f>
        <v>388.272358585549</v>
      </c>
      <c r="D43" s="8" t="n">
        <f aca="false">C43/(Assumptions!$C$5*Assumptions!$C$6)</f>
        <v>7.76544717171098</v>
      </c>
      <c r="E43" s="8" t="n">
        <f aca="false">D43/7</f>
        <v>1.10934959595871</v>
      </c>
    </row>
    <row r="44" customFormat="false" ht="15" hidden="false" customHeight="true" outlineLevel="0" collapsed="false">
      <c r="A44" s="5" t="n">
        <v>41</v>
      </c>
      <c r="B44" s="8" t="n">
        <f aca="false">Assumptions!$C$10*A44^Assumptions!$C$11</f>
        <v>24.4151127173315</v>
      </c>
      <c r="C44" s="8" t="n">
        <f aca="false">C43+B44</f>
        <v>412.68747130288</v>
      </c>
      <c r="D44" s="8" t="n">
        <f aca="false">C44/(Assumptions!$C$5*Assumptions!$C$6)</f>
        <v>8.25374942605761</v>
      </c>
      <c r="E44" s="8" t="n">
        <f aca="false">D44/7</f>
        <v>1.17910706086537</v>
      </c>
    </row>
    <row r="45" customFormat="false" ht="15" hidden="false" customHeight="true" outlineLevel="0" collapsed="false">
      <c r="A45" s="5" t="n">
        <v>42</v>
      </c>
      <c r="B45" s="8" t="n">
        <f aca="false">Assumptions!$C$10*A45^Assumptions!$C$11</f>
        <v>25.3137731679811</v>
      </c>
      <c r="C45" s="8" t="n">
        <f aca="false">C44+B45</f>
        <v>438.001244470861</v>
      </c>
      <c r="D45" s="8" t="n">
        <f aca="false">C45/(Assumptions!$C$5*Assumptions!$C$6)</f>
        <v>8.76002488941723</v>
      </c>
      <c r="E45" s="8" t="n">
        <f aca="false">D45/7</f>
        <v>1.2514321270596</v>
      </c>
    </row>
    <row r="46" customFormat="false" ht="15" hidden="false" customHeight="true" outlineLevel="0" collapsed="false">
      <c r="A46" s="5" t="n">
        <v>43</v>
      </c>
      <c r="B46" s="8" t="n">
        <f aca="false">Assumptions!$C$10*A46^Assumptions!$C$11</f>
        <v>26.2231966586837</v>
      </c>
      <c r="C46" s="8" t="n">
        <f aca="false">C45+B46</f>
        <v>464.224441129545</v>
      </c>
      <c r="D46" s="8" t="n">
        <f aca="false">C46/(Assumptions!$C$5*Assumptions!$C$6)</f>
        <v>9.2844888225909</v>
      </c>
      <c r="E46" s="8" t="n">
        <f aca="false">D46/7</f>
        <v>1.32635554608441</v>
      </c>
    </row>
    <row r="47" customFormat="false" ht="15" hidden="false" customHeight="true" outlineLevel="0" collapsed="false">
      <c r="A47" s="5" t="n">
        <v>44</v>
      </c>
      <c r="B47" s="8" t="n">
        <f aca="false">Assumptions!$C$10*A47^Assumptions!$C$11</f>
        <v>27.1432572842686</v>
      </c>
      <c r="C47" s="8" t="n">
        <f aca="false">C46+B47</f>
        <v>491.367698413814</v>
      </c>
      <c r="D47" s="8" t="n">
        <f aca="false">C47/(Assumptions!$C$5*Assumptions!$C$6)</f>
        <v>9.82735396827627</v>
      </c>
      <c r="E47" s="8" t="n">
        <f aca="false">D47/7</f>
        <v>1.40390770975375</v>
      </c>
    </row>
    <row r="48" customFormat="false" ht="15" hidden="false" customHeight="true" outlineLevel="0" collapsed="false">
      <c r="A48" s="5" t="n">
        <v>45</v>
      </c>
      <c r="B48" s="8" t="n">
        <f aca="false">Assumptions!$C$10*A48^Assumptions!$C$11</f>
        <v>28.0738334575099</v>
      </c>
      <c r="C48" s="8" t="n">
        <f aca="false">C47+B48</f>
        <v>519.441531871324</v>
      </c>
      <c r="D48" s="8" t="n">
        <f aca="false">C48/(Assumptions!$C$5*Assumptions!$C$6)</f>
        <v>10.3888306374265</v>
      </c>
      <c r="E48" s="8" t="n">
        <f aca="false">D48/7</f>
        <v>1.4841186624895</v>
      </c>
    </row>
    <row r="49" customFormat="false" ht="15" hidden="false" customHeight="true" outlineLevel="0" collapsed="false">
      <c r="A49" s="5" t="n">
        <v>46</v>
      </c>
      <c r="B49" s="8" t="n">
        <f aca="false">Assumptions!$C$10*A49^Assumptions!$C$11</f>
        <v>29.0148076678099</v>
      </c>
      <c r="C49" s="8" t="n">
        <f aca="false">C48+B49</f>
        <v>548.456339539133</v>
      </c>
      <c r="D49" s="8" t="n">
        <f aca="false">C49/(Assumptions!$C$5*Assumptions!$C$6)</f>
        <v>10.9691267907827</v>
      </c>
      <c r="E49" s="8" t="n">
        <f aca="false">D49/7</f>
        <v>1.56701811296895</v>
      </c>
    </row>
    <row r="50" customFormat="false" ht="15" hidden="false" customHeight="true" outlineLevel="0" collapsed="false">
      <c r="A50" s="5" t="n">
        <v>47</v>
      </c>
      <c r="B50" s="8" t="n">
        <f aca="false">Assumptions!$C$10*A50^Assumptions!$C$11</f>
        <v>29.966066258353</v>
      </c>
      <c r="C50" s="8" t="n">
        <f aca="false">C49+B50</f>
        <v>578.422405797486</v>
      </c>
      <c r="D50" s="8" t="n">
        <f aca="false">C50/(Assumptions!$C$5*Assumptions!$C$6)</f>
        <v>11.5684481159497</v>
      </c>
      <c r="E50" s="8" t="n">
        <f aca="false">D50/7</f>
        <v>1.65263544513568</v>
      </c>
    </row>
    <row r="51" customFormat="false" ht="15" hidden="false" customHeight="true" outlineLevel="0" collapsed="false">
      <c r="A51" s="5" t="n">
        <v>48</v>
      </c>
      <c r="B51" s="8" t="n">
        <f aca="false">Assumptions!$C$10*A51^Assumptions!$C$11</f>
        <v>30.9274992199499</v>
      </c>
      <c r="C51" s="8" t="n">
        <f aca="false">C50+B51</f>
        <v>609.349905017436</v>
      </c>
      <c r="D51" s="8" t="n">
        <f aca="false">C51/(Assumptions!$C$5*Assumptions!$C$6)</f>
        <v>12.1869981003487</v>
      </c>
      <c r="E51" s="8" t="n">
        <f aca="false">D51/7</f>
        <v>1.74099972862125</v>
      </c>
    </row>
    <row r="52" customFormat="false" ht="15" hidden="false" customHeight="true" outlineLevel="0" collapsed="false">
      <c r="A52" s="5" t="n">
        <v>49</v>
      </c>
      <c r="B52" s="8" t="n">
        <f aca="false">Assumptions!$C$10*A52^Assumptions!$C$11</f>
        <v>31.899</v>
      </c>
      <c r="C52" s="8" t="n">
        <f aca="false">C51+B52</f>
        <v>641.248905017436</v>
      </c>
      <c r="D52" s="8" t="n">
        <f aca="false">C52/(Assumptions!$C$5*Assumptions!$C$6)</f>
        <v>12.8249781003487</v>
      </c>
      <c r="E52" s="8" t="n">
        <f aca="false">D52/7</f>
        <v>1.83213972862125</v>
      </c>
    </row>
    <row r="53" customFormat="false" ht="15" hidden="false" customHeight="true" outlineLevel="0" collapsed="false">
      <c r="A53" s="5" t="n">
        <v>50</v>
      </c>
      <c r="B53" s="8" t="n">
        <f aca="false">Assumptions!$C$10*A53^Assumptions!$C$11</f>
        <v>32.8804653251745</v>
      </c>
      <c r="C53" s="8" t="n">
        <f aca="false">C52+B53</f>
        <v>674.129370342611</v>
      </c>
      <c r="D53" s="8" t="n">
        <f aca="false">C53/(Assumptions!$C$5*Assumptions!$C$6)</f>
        <v>13.4825874068522</v>
      </c>
      <c r="E53" s="8" t="n">
        <f aca="false">D53/7</f>
        <v>1.9260839152646</v>
      </c>
    </row>
    <row r="54" customFormat="false" ht="15" hidden="false" customHeight="true" outlineLevel="0" collapsed="false">
      <c r="A54" s="5" t="n">
        <v>51</v>
      </c>
      <c r="B54" s="8" t="n">
        <f aca="false">Assumptions!$C$10*A54^Assumptions!$C$11</f>
        <v>33.8717950365787</v>
      </c>
      <c r="C54" s="8" t="n">
        <f aca="false">C53+B54</f>
        <v>708.001165379189</v>
      </c>
      <c r="D54" s="8" t="n">
        <f aca="false">C54/(Assumptions!$C$5*Assumptions!$C$6)</f>
        <v>14.1600233075838</v>
      </c>
      <c r="E54" s="8" t="n">
        <f aca="false">D54/7</f>
        <v>2.02286047251197</v>
      </c>
    </row>
    <row r="55" customFormat="false" ht="15" hidden="false" customHeight="true" outlineLevel="0" collapsed="false">
      <c r="A55" s="5" t="n">
        <v>52</v>
      </c>
      <c r="B55" s="8" t="n">
        <f aca="false">Assumptions!$C$10*A55^Assumptions!$C$11</f>
        <v>34.8728919362877</v>
      </c>
      <c r="C55" s="8" t="n">
        <f aca="false">C54+B55</f>
        <v>742.874057315477</v>
      </c>
      <c r="D55" s="8" t="n">
        <f aca="false">C55/(Assumptions!$C$5*Assumptions!$C$6)</f>
        <v>14.8574811463095</v>
      </c>
      <c r="E55" s="8" t="n">
        <f aca="false">D55/7</f>
        <v>2.12249730661565</v>
      </c>
    </row>
    <row r="56" customFormat="false" ht="15" hidden="false" customHeight="true" outlineLevel="0" collapsed="false">
      <c r="A56" s="5" t="n">
        <v>53</v>
      </c>
      <c r="B56" s="8" t="n">
        <f aca="false">Assumptions!$C$10*A56^Assumptions!$C$11</f>
        <v>35.8836616442637</v>
      </c>
      <c r="C56" s="8" t="n">
        <f aca="false">C55+B56</f>
        <v>778.757718959741</v>
      </c>
      <c r="D56" s="8" t="n">
        <f aca="false">C56/(Assumptions!$C$5*Assumptions!$C$6)</f>
        <v>15.5751543791948</v>
      </c>
      <c r="E56" s="8" t="n">
        <f aca="false">D56/7</f>
        <v>2.22502205417069</v>
      </c>
    </row>
    <row r="57" customFormat="false" ht="15" hidden="false" customHeight="true" outlineLevel="0" collapsed="false">
      <c r="A57" s="5" t="n">
        <v>54</v>
      </c>
      <c r="B57" s="8" t="n">
        <f aca="false">Assumptions!$C$10*A57^Assumptions!$C$11</f>
        <v>36.9040124647714</v>
      </c>
      <c r="C57" s="8" t="n">
        <f aca="false">C56+B57</f>
        <v>815.661731424512</v>
      </c>
      <c r="D57" s="8" t="n">
        <f aca="false">C57/(Assumptions!$C$5*Assumptions!$C$6)</f>
        <v>16.3132346284902</v>
      </c>
      <c r="E57" s="8" t="n">
        <f aca="false">D57/7</f>
        <v>2.33046208978432</v>
      </c>
    </row>
    <row r="58" customFormat="false" ht="15" hidden="false" customHeight="true" outlineLevel="0" collapsed="false">
      <c r="A58" s="5" t="n">
        <v>55</v>
      </c>
      <c r="B58" s="8" t="n">
        <f aca="false">Assumptions!$C$10*A58^Assumptions!$C$11</f>
        <v>37.9338552614943</v>
      </c>
      <c r="C58" s="8" t="n">
        <f aca="false">C57+B58</f>
        <v>853.595586686006</v>
      </c>
      <c r="D58" s="8" t="n">
        <f aca="false">C58/(Assumptions!$C$5*Assumptions!$C$6)</f>
        <v>17.0719117337201</v>
      </c>
      <c r="E58" s="8" t="n">
        <f aca="false">D58/7</f>
        <v>2.43884453338859</v>
      </c>
    </row>
    <row r="59" customFormat="false" ht="15" hidden="false" customHeight="true" outlineLevel="0" collapsed="false">
      <c r="A59" s="5" t="n">
        <v>56</v>
      </c>
      <c r="B59" s="8" t="n">
        <f aca="false">Assumptions!$C$10*A59^Assumptions!$C$11</f>
        <v>38.9731033406374</v>
      </c>
      <c r="C59" s="8" t="n">
        <f aca="false">C58+B59</f>
        <v>892.568690026644</v>
      </c>
      <c r="D59" s="8" t="n">
        <f aca="false">C59/(Assumptions!$C$5*Assumptions!$C$6)</f>
        <v>17.8513738005329</v>
      </c>
      <c r="E59" s="8" t="n">
        <f aca="false">D59/7</f>
        <v>2.55019625721898</v>
      </c>
    </row>
    <row r="60" customFormat="false" ht="15" hidden="false" customHeight="true" outlineLevel="0" collapsed="false">
      <c r="A60" s="5" t="n">
        <v>57</v>
      </c>
      <c r="B60" s="8" t="n">
        <f aca="false">Assumptions!$C$10*A60^Assumptions!$C$11</f>
        <v>40.0216723413703</v>
      </c>
      <c r="C60" s="8" t="n">
        <f aca="false">C59+B60</f>
        <v>932.590362368014</v>
      </c>
      <c r="D60" s="8" t="n">
        <f aca="false">C60/(Assumptions!$C$5*Assumptions!$C$6)</f>
        <v>18.6518072473603</v>
      </c>
      <c r="E60" s="8" t="n">
        <f aca="false">D60/7</f>
        <v>2.66454389248004</v>
      </c>
    </row>
    <row r="61" customFormat="false" ht="15" hidden="false" customHeight="true" outlineLevel="0" collapsed="false">
      <c r="A61" s="5" t="n">
        <v>58</v>
      </c>
      <c r="B61" s="8" t="n">
        <f aca="false">Assumptions!$C$10*A61^Assumptions!$C$11</f>
        <v>41.0794801330299</v>
      </c>
      <c r="C61" s="8" t="n">
        <f aca="false">C60+B61</f>
        <v>973.669842501044</v>
      </c>
      <c r="D61" s="8" t="n">
        <f aca="false">C61/(Assumptions!$C$5*Assumptions!$C$6)</f>
        <v>19.4733968500209</v>
      </c>
      <c r="E61" s="8" t="n">
        <f aca="false">D61/7</f>
        <v>2.78191383571727</v>
      </c>
    </row>
    <row r="62" customFormat="false" ht="15" hidden="false" customHeight="true" outlineLevel="0" collapsed="false">
      <c r="A62" s="5" t="n">
        <v>59</v>
      </c>
      <c r="B62" s="8" t="n">
        <f aca="false">Assumptions!$C$10*A62^Assumptions!$C$11</f>
        <v>42.1464467185551</v>
      </c>
      <c r="C62" s="8" t="n">
        <f aca="false">C61+B62</f>
        <v>1015.8162892196</v>
      </c>
      <c r="D62" s="8" t="n">
        <f aca="false">C62/(Assumptions!$C$5*Assumptions!$C$6)</f>
        <v>20.316325784392</v>
      </c>
      <c r="E62" s="8" t="n">
        <f aca="false">D62/7</f>
        <v>2.90233225491314</v>
      </c>
    </row>
    <row r="63" customFormat="false" ht="15" hidden="false" customHeight="true" outlineLevel="0" collapsed="false">
      <c r="A63" s="5" t="n">
        <v>60</v>
      </c>
      <c r="B63" s="8" t="n">
        <f aca="false">Assumptions!$C$10*A63^Assumptions!$C$11</f>
        <v>43.2224941436748</v>
      </c>
      <c r="C63" s="8" t="n">
        <f aca="false">C62+B63</f>
        <v>1059.03878336327</v>
      </c>
      <c r="D63" s="8" t="n">
        <f aca="false">C63/(Assumptions!$C$5*Assumptions!$C$6)</f>
        <v>21.1807756672655</v>
      </c>
      <c r="E63" s="8" t="n">
        <f aca="false">D63/7</f>
        <v>3.02582509532364</v>
      </c>
    </row>
    <row r="64" customFormat="false" ht="15" hidden="false" customHeight="true" outlineLevel="0" collapsed="false">
      <c r="A64" s="5" t="n">
        <v>61</v>
      </c>
      <c r="B64" s="8" t="n">
        <f aca="false">Assumptions!$C$10*A64^Assumptions!$C$11</f>
        <v>44.3075464114185</v>
      </c>
      <c r="C64" s="8" t="n">
        <f aca="false">C63+B64</f>
        <v>1103.34632977469</v>
      </c>
      <c r="D64" s="8" t="n">
        <f aca="false">C64/(Assumptions!$C$5*Assumptions!$C$6)</f>
        <v>22.0669265954938</v>
      </c>
      <c r="E64" s="8" t="n">
        <f aca="false">D64/7</f>
        <v>3.15241808507055</v>
      </c>
    </row>
    <row r="65" customFormat="false" ht="15" hidden="false" customHeight="true" outlineLevel="0" collapsed="false">
      <c r="A65" s="5" t="n">
        <v>62</v>
      </c>
      <c r="B65" s="8" t="n">
        <f aca="false">Assumptions!$C$10*A65^Assumptions!$C$11</f>
        <v>45.4015294015521</v>
      </c>
      <c r="C65" s="8" t="n">
        <f aca="false">C64+B65</f>
        <v>1148.74785917624</v>
      </c>
      <c r="D65" s="8" t="n">
        <f aca="false">C65/(Assumptions!$C$5*Assumptions!$C$6)</f>
        <v>22.9749571835249</v>
      </c>
      <c r="E65" s="8" t="n">
        <f aca="false">D65/7</f>
        <v>3.28213674050356</v>
      </c>
    </row>
    <row r="66" customFormat="false" ht="15" hidden="false" customHeight="true" outlineLevel="0" collapsed="false">
      <c r="A66" s="5" t="n">
        <v>63</v>
      </c>
      <c r="B66" s="8" t="n">
        <f aca="false">Assumptions!$C$10*A66^Assumptions!$C$11</f>
        <v>46.5043707945823</v>
      </c>
      <c r="C66" s="8" t="n">
        <f aca="false">C65+B66</f>
        <v>1195.25222997083</v>
      </c>
      <c r="D66" s="8" t="n">
        <f aca="false">C66/(Assumptions!$C$5*Assumptions!$C$6)</f>
        <v>23.9050445994165</v>
      </c>
      <c r="E66" s="8" t="n">
        <f aca="false">D66/7</f>
        <v>3.41500637134522</v>
      </c>
    </row>
    <row r="67" customFormat="false" ht="15" hidden="false" customHeight="true" outlineLevel="0" collapsed="false">
      <c r="A67" s="5" t="n">
        <v>64</v>
      </c>
      <c r="B67" s="8" t="n">
        <f aca="false">Assumptions!$C$10*A67^Assumptions!$C$11</f>
        <v>47.616</v>
      </c>
      <c r="C67" s="8" t="n">
        <f aca="false">C66+B67</f>
        <v>1242.86822997083</v>
      </c>
      <c r="D67" s="8" t="n">
        <f aca="false">C67/(Assumptions!$C$5*Assumptions!$C$6)</f>
        <v>24.8573645994165</v>
      </c>
      <c r="E67" s="8" t="n">
        <f aca="false">D67/7</f>
        <v>3.55105208563093</v>
      </c>
    </row>
    <row r="68" customFormat="false" ht="15" hidden="false" customHeight="true" outlineLevel="0" collapsed="false">
      <c r="A68" s="5" t="n">
        <v>65</v>
      </c>
      <c r="B68" s="8" t="n">
        <f aca="false">Assumptions!$C$10*A68^Assumptions!$C$11</f>
        <v>48.7363480884647</v>
      </c>
      <c r="C68" s="8" t="n">
        <f aca="false">C67+B68</f>
        <v>1291.60457805929</v>
      </c>
      <c r="D68" s="8" t="n">
        <f aca="false">C68/(Assumptions!$C$5*Assumptions!$C$6)</f>
        <v>25.8320915611858</v>
      </c>
      <c r="E68" s="8" t="n">
        <f aca="false">D68/7</f>
        <v>3.69029879445512</v>
      </c>
    </row>
    <row r="69" customFormat="false" ht="15" hidden="false" customHeight="true" outlineLevel="0" collapsed="false">
      <c r="A69" s="5" t="n">
        <v>66</v>
      </c>
      <c r="B69" s="8" t="n">
        <f aca="false">Assumptions!$C$10*A69^Assumptions!$C$11</f>
        <v>49.8653477276555</v>
      </c>
      <c r="C69" s="8" t="n">
        <f aca="false">C68+B69</f>
        <v>1341.46992578695</v>
      </c>
      <c r="D69" s="8" t="n">
        <f aca="false">C69/(Assumptions!$C$5*Assumptions!$C$6)</f>
        <v>26.8293985157389</v>
      </c>
      <c r="E69" s="8" t="n">
        <f aca="false">D69/7</f>
        <v>3.83277121653413</v>
      </c>
    </row>
    <row r="70" customFormat="false" ht="15" hidden="false" customHeight="true" outlineLevel="0" collapsed="false">
      <c r="A70" s="5" t="n">
        <v>67</v>
      </c>
      <c r="B70" s="8" t="n">
        <f aca="false">Assumptions!$C$10*A70^Assumptions!$C$11</f>
        <v>51.0029331215372</v>
      </c>
      <c r="C70" s="8" t="n">
        <f aca="false">C69+B70</f>
        <v>1392.47285890848</v>
      </c>
      <c r="D70" s="8" t="n">
        <f aca="false">C70/(Assumptions!$C$5*Assumptions!$C$6)</f>
        <v>27.8494571781697</v>
      </c>
      <c r="E70" s="8" t="n">
        <f aca="false">D70/7</f>
        <v>3.97849388259567</v>
      </c>
    </row>
    <row r="71" customFormat="false" ht="15" hidden="false" customHeight="true" outlineLevel="0" collapsed="false">
      <c r="A71" s="5" t="n">
        <v>68</v>
      </c>
      <c r="B71" s="8" t="n">
        <f aca="false">Assumptions!$C$10*A71^Assumptions!$C$11</f>
        <v>52.1490399528122</v>
      </c>
      <c r="C71" s="8" t="n">
        <f aca="false">C70+B71</f>
        <v>1444.6218988613</v>
      </c>
      <c r="D71" s="8" t="n">
        <f aca="false">C71/(Assumptions!$C$5*Assumptions!$C$6)</f>
        <v>28.8924379772259</v>
      </c>
      <c r="E71" s="8" t="n">
        <f aca="false">D71/7</f>
        <v>4.1274911396037</v>
      </c>
    </row>
    <row r="72" customFormat="false" ht="15" hidden="false" customHeight="true" outlineLevel="0" collapsed="false">
      <c r="A72" s="5" t="n">
        <v>69</v>
      </c>
      <c r="B72" s="8" t="n">
        <f aca="false">Assumptions!$C$10*A72^Assumptions!$C$11</f>
        <v>53.3036053283453</v>
      </c>
      <c r="C72" s="8" t="n">
        <f aca="false">C71+B72</f>
        <v>1497.92550418964</v>
      </c>
      <c r="D72" s="8" t="n">
        <f aca="false">C72/(Assumptions!$C$5*Assumptions!$C$6)</f>
        <v>29.9585100837928</v>
      </c>
      <c r="E72" s="8" t="n">
        <f aca="false">D72/7</f>
        <v>4.27978715482755</v>
      </c>
    </row>
    <row r="73" customFormat="false" ht="15" hidden="false" customHeight="true" outlineLevel="0" collapsed="false">
      <c r="A73" s="5" t="n">
        <v>70</v>
      </c>
      <c r="B73" s="8" t="n">
        <f aca="false">Assumptions!$C$10*A73^Assumptions!$C$11</f>
        <v>54.4665677273683</v>
      </c>
      <c r="C73" s="8" t="n">
        <f aca="false">C72+B73</f>
        <v>1552.39207191701</v>
      </c>
      <c r="D73" s="8" t="n">
        <f aca="false">C73/(Assumptions!$C$5*Assumptions!$C$6)</f>
        <v>31.0478414383402</v>
      </c>
      <c r="E73" s="8" t="n">
        <f aca="false">D73/7</f>
        <v>4.43540591976289</v>
      </c>
    </row>
    <row r="74" customFormat="false" ht="15" hidden="false" customHeight="true" outlineLevel="0" collapsed="false">
      <c r="A74" s="5" t="n">
        <v>71</v>
      </c>
      <c r="B74" s="8" t="n">
        <f aca="false">Assumptions!$C$10*A74^Assumptions!$C$11</f>
        <v>55.6378669522835</v>
      </c>
      <c r="C74" s="8" t="n">
        <f aca="false">C73+B74</f>
        <v>1608.02993886929</v>
      </c>
      <c r="D74" s="8" t="n">
        <f aca="false">C74/(Assumptions!$C$5*Assumptions!$C$6)</f>
        <v>32.1605987773859</v>
      </c>
      <c r="E74" s="8" t="n">
        <f aca="false">D74/7</f>
        <v>4.59437125391227</v>
      </c>
    </row>
    <row r="75" customFormat="false" ht="15" hidden="false" customHeight="true" outlineLevel="0" collapsed="false">
      <c r="A75" s="5" t="n">
        <v>72</v>
      </c>
      <c r="B75" s="8" t="n">
        <f aca="false">Assumptions!$C$10*A75^Assumptions!$C$11</f>
        <v>56.8174440819015</v>
      </c>
      <c r="C75" s="8" t="n">
        <f aca="false">C74+B75</f>
        <v>1664.84738295119</v>
      </c>
      <c r="D75" s="8" t="n">
        <f aca="false">C75/(Assumptions!$C$5*Assumptions!$C$6)</f>
        <v>33.2969476590239</v>
      </c>
      <c r="E75" s="8" t="n">
        <f aca="false">D75/7</f>
        <v>4.75670680843199</v>
      </c>
    </row>
    <row r="76" customFormat="false" ht="15" hidden="false" customHeight="true" outlineLevel="0" collapsed="false">
      <c r="A76" s="5" t="n">
        <v>73</v>
      </c>
      <c r="B76" s="8" t="n">
        <f aca="false">Assumptions!$C$10*A76^Assumptions!$C$11</f>
        <v>58.0052414269607</v>
      </c>
      <c r="C76" s="8" t="n">
        <f aca="false">C75+B76</f>
        <v>1722.85262437816</v>
      </c>
      <c r="D76" s="8" t="n">
        <f aca="false">C76/(Assumptions!$C$5*Assumptions!$C$6)</f>
        <v>34.4570524875631</v>
      </c>
      <c r="E76" s="8" t="n">
        <f aca="false">D76/7</f>
        <v>4.92243606965187</v>
      </c>
    </row>
    <row r="77" customFormat="false" ht="15" hidden="false" customHeight="true" outlineLevel="0" collapsed="false">
      <c r="A77" s="5" t="n">
        <v>74</v>
      </c>
      <c r="B77" s="8" t="n">
        <f aca="false">Assumptions!$C$10*A77^Assumptions!$C$11</f>
        <v>59.2012024877874</v>
      </c>
      <c r="C77" s="8" t="n">
        <f aca="false">C76+B77</f>
        <v>1782.05382686594</v>
      </c>
      <c r="D77" s="8" t="n">
        <f aca="false">C77/(Assumptions!$C$5*Assumptions!$C$6)</f>
        <v>35.6410765373189</v>
      </c>
      <c r="E77" s="8" t="n">
        <f aca="false">D77/7</f>
        <v>5.09158236247412</v>
      </c>
    </row>
    <row r="78" customFormat="false" ht="15" hidden="false" customHeight="true" outlineLevel="0" collapsed="false">
      <c r="A78" s="5" t="n">
        <v>75</v>
      </c>
      <c r="B78" s="8" t="n">
        <f aca="false">Assumptions!$C$10*A78^Assumptions!$C$11</f>
        <v>60.4052719139646</v>
      </c>
      <c r="C78" s="8" t="n">
        <f aca="false">C77+B78</f>
        <v>1842.45909877991</v>
      </c>
      <c r="D78" s="8" t="n">
        <f aca="false">C78/(Assumptions!$C$5*Assumptions!$C$6)</f>
        <v>36.8491819755981</v>
      </c>
      <c r="E78" s="8" t="n">
        <f aca="false">D78/7</f>
        <v>5.26416885365688</v>
      </c>
    </row>
    <row r="79" customFormat="false" ht="15" hidden="false" customHeight="true" outlineLevel="0" collapsed="false">
      <c r="A79" s="5" t="n">
        <v>76</v>
      </c>
      <c r="B79" s="8" t="n">
        <f aca="false">Assumptions!$C$10*A79^Assumptions!$C$11</f>
        <v>61.617395465891</v>
      </c>
      <c r="C79" s="8" t="n">
        <f aca="false">C78+B79</f>
        <v>1904.0764942458</v>
      </c>
      <c r="D79" s="8" t="n">
        <f aca="false">C79/(Assumptions!$C$5*Assumptions!$C$6)</f>
        <v>38.081529884916</v>
      </c>
      <c r="E79" s="8" t="n">
        <f aca="false">D79/7</f>
        <v>5.440218554988</v>
      </c>
    </row>
    <row r="80" customFormat="false" ht="15" hidden="false" customHeight="true" outlineLevel="0" collapsed="false">
      <c r="A80" s="5" t="n">
        <v>77</v>
      </c>
      <c r="B80" s="8" t="n">
        <f aca="false">Assumptions!$C$10*A80^Assumptions!$C$11</f>
        <v>62.837519978115</v>
      </c>
      <c r="C80" s="8" t="n">
        <f aca="false">C79+B80</f>
        <v>1966.91401422391</v>
      </c>
      <c r="D80" s="8" t="n">
        <f aca="false">C80/(Assumptions!$C$5*Assumptions!$C$6)</f>
        <v>39.3382802844783</v>
      </c>
      <c r="E80" s="8" t="n">
        <f aca="false">D80/7</f>
        <v>5.61975432635404</v>
      </c>
    </row>
    <row r="81" customFormat="false" ht="15" hidden="false" customHeight="true" outlineLevel="0" collapsed="false">
      <c r="A81" s="5" t="n">
        <v>78</v>
      </c>
      <c r="B81" s="8" t="n">
        <f aca="false">Assumptions!$C$10*A81^Assumptions!$C$11</f>
        <v>64.0655933243422</v>
      </c>
      <c r="C81" s="8" t="n">
        <f aca="false">C80+B81</f>
        <v>2030.97960754826</v>
      </c>
      <c r="D81" s="8" t="n">
        <f aca="false">C81/(Assumptions!$C$5*Assumptions!$C$6)</f>
        <v>40.6195921509651</v>
      </c>
      <c r="E81" s="8" t="n">
        <f aca="false">D81/7</f>
        <v>5.8027988787093</v>
      </c>
    </row>
    <row r="82" customFormat="false" ht="15" hidden="false" customHeight="true" outlineLevel="0" collapsed="false">
      <c r="A82" s="5" t="n">
        <v>79</v>
      </c>
      <c r="B82" s="8" t="n">
        <f aca="false">Assumptions!$C$10*A82^Assumptions!$C$11</f>
        <v>65.3015643840176</v>
      </c>
      <c r="C82" s="8" t="n">
        <f aca="false">C81+B82</f>
        <v>2096.28117193227</v>
      </c>
      <c r="D82" s="8" t="n">
        <f aca="false">C82/(Assumptions!$C$5*Assumptions!$C$6)</f>
        <v>41.9256234386455</v>
      </c>
      <c r="E82" s="8" t="n">
        <f aca="false">D82/7</f>
        <v>5.98937477694935</v>
      </c>
    </row>
    <row r="83" customFormat="false" ht="15" hidden="false" customHeight="true" outlineLevel="0" collapsed="false">
      <c r="A83" s="5" t="n">
        <v>80</v>
      </c>
      <c r="B83" s="8" t="n">
        <f aca="false">Assumptions!$C$10*A83^Assumptions!$C$11</f>
        <v>66.5453830103938</v>
      </c>
      <c r="C83" s="8" t="n">
        <f aca="false">C82+B83</f>
        <v>2162.82655494267</v>
      </c>
      <c r="D83" s="8" t="n">
        <f aca="false">C83/(Assumptions!$C$5*Assumptions!$C$6)</f>
        <v>43.2565310988533</v>
      </c>
      <c r="E83" s="8" t="n">
        <f aca="false">D83/7</f>
        <v>6.17950444269333</v>
      </c>
    </row>
    <row r="84" customFormat="false" ht="15" hidden="false" customHeight="true" outlineLevel="0" collapsed="false">
      <c r="A84" s="5" t="n">
        <v>81</v>
      </c>
      <c r="B84" s="8" t="n">
        <f aca="false">Assumptions!$C$10*A84^Assumptions!$C$11</f>
        <v>67.797</v>
      </c>
      <c r="C84" s="8" t="n">
        <f aca="false">C83+B84</f>
        <v>2230.62355494267</v>
      </c>
      <c r="D84" s="8" t="n">
        <f aca="false">C84/(Assumptions!$C$5*Assumptions!$C$6)</f>
        <v>44.6124710988533</v>
      </c>
      <c r="E84" s="8" t="n">
        <f aca="false">D84/7</f>
        <v>6.37321015697905</v>
      </c>
    </row>
    <row r="85" customFormat="false" ht="15" hidden="false" customHeight="true" outlineLevel="0" collapsed="false">
      <c r="A85" s="5" t="n">
        <v>82</v>
      </c>
      <c r="B85" s="8" t="n">
        <f aca="false">Assumptions!$C$10*A85^Assumptions!$C$11</f>
        <v>69.0563670634359</v>
      </c>
      <c r="C85" s="8" t="n">
        <f aca="false">C84+B85</f>
        <v>2299.6799220061</v>
      </c>
      <c r="D85" s="8" t="n">
        <f aca="false">C85/(Assumptions!$C$5*Assumptions!$C$6)</f>
        <v>45.9935984401221</v>
      </c>
      <c r="E85" s="8" t="n">
        <f aca="false">D85/7</f>
        <v>6.57051406287458</v>
      </c>
    </row>
    <row r="86" customFormat="false" ht="15" hidden="false" customHeight="true" outlineLevel="0" collapsed="false">
      <c r="A86" s="5" t="n">
        <v>83</v>
      </c>
      <c r="B86" s="8" t="n">
        <f aca="false">Assumptions!$C$10*A86^Assumptions!$C$11</f>
        <v>70.3234367974148</v>
      </c>
      <c r="C86" s="8" t="n">
        <f aca="false">C85+B86</f>
        <v>2370.00335880352</v>
      </c>
      <c r="D86" s="8" t="n">
        <f aca="false">C86/(Assumptions!$C$5*Assumptions!$C$6)</f>
        <v>47.4000671760704</v>
      </c>
      <c r="E86" s="8" t="n">
        <f aca="false">D86/7</f>
        <v>6.77143816801005</v>
      </c>
    </row>
    <row r="87" customFormat="false" ht="15" hidden="false" customHeight="true" outlineLevel="0" collapsed="false">
      <c r="A87" s="5" t="n">
        <v>84</v>
      </c>
      <c r="B87" s="8" t="n">
        <f aca="false">Assumptions!$C$10*A87^Assumptions!$C$11</f>
        <v>71.59816265799</v>
      </c>
      <c r="C87" s="8" t="n">
        <f aca="false">C86+B87</f>
        <v>2441.60152146151</v>
      </c>
      <c r="D87" s="8" t="n">
        <f aca="false">C87/(Assumptions!$C$5*Assumptions!$C$6)</f>
        <v>48.8320304292302</v>
      </c>
      <c r="E87" s="8" t="n">
        <f aca="false">D87/7</f>
        <v>6.97600434703288</v>
      </c>
    </row>
    <row r="88" customFormat="false" ht="15" hidden="false" customHeight="true" outlineLevel="0" collapsed="false">
      <c r="A88" s="5" t="n">
        <v>85</v>
      </c>
      <c r="B88" s="8" t="n">
        <f aca="false">Assumptions!$C$10*A88^Assumptions!$C$11</f>
        <v>72.8804989349003</v>
      </c>
      <c r="C88" s="8" t="n">
        <f aca="false">C87+B88</f>
        <v>2514.48202039641</v>
      </c>
      <c r="D88" s="8" t="n">
        <f aca="false">C88/(Assumptions!$C$5*Assumptions!$C$6)</f>
        <v>50.2896404079282</v>
      </c>
      <c r="E88" s="8" t="n">
        <f aca="false">D88/7</f>
        <v>7.18423434398974</v>
      </c>
    </row>
    <row r="89" customFormat="false" ht="15" hidden="false" customHeight="true" outlineLevel="0" collapsed="false">
      <c r="A89" s="5" t="n">
        <v>86</v>
      </c>
      <c r="B89" s="8" t="n">
        <f aca="false">Assumptions!$C$10*A89^Assumptions!$C$11</f>
        <v>74.1704007269746</v>
      </c>
      <c r="C89" s="8" t="n">
        <f aca="false">C88+B89</f>
        <v>2588.65242112338</v>
      </c>
      <c r="D89" s="8" t="n">
        <f aca="false">C89/(Assumptions!$C$5*Assumptions!$C$6)</f>
        <v>51.7730484224676</v>
      </c>
      <c r="E89" s="8" t="n">
        <f aca="false">D89/7</f>
        <v>7.39614977463824</v>
      </c>
    </row>
    <row r="90" customFormat="false" ht="15" hidden="false" customHeight="true" outlineLevel="0" collapsed="false">
      <c r="A90" s="5" t="n">
        <v>87</v>
      </c>
      <c r="B90" s="8" t="n">
        <f aca="false">Assumptions!$C$10*A90^Assumptions!$C$11</f>
        <v>75.4678239185416</v>
      </c>
      <c r="C90" s="8" t="n">
        <f aca="false">C89+B90</f>
        <v>2664.12024504192</v>
      </c>
      <c r="D90" s="8" t="n">
        <f aca="false">C90/(Assumptions!$C$5*Assumptions!$C$6)</f>
        <v>53.2824049008385</v>
      </c>
      <c r="E90" s="8" t="n">
        <f aca="false">D90/7</f>
        <v>7.61177212869121</v>
      </c>
    </row>
    <row r="91" customFormat="false" ht="15" hidden="false" customHeight="true" outlineLevel="0" collapsed="false">
      <c r="A91" s="5" t="n">
        <v>88</v>
      </c>
      <c r="B91" s="8" t="n">
        <f aca="false">Assumptions!$C$10*A91^Assumptions!$C$11</f>
        <v>76.7727251567899</v>
      </c>
      <c r="C91" s="8" t="n">
        <f aca="false">C90+B91</f>
        <v>2740.89297019871</v>
      </c>
      <c r="D91" s="8" t="n">
        <f aca="false">C91/(Assumptions!$C$5*Assumptions!$C$6)</f>
        <v>54.8178594039743</v>
      </c>
      <c r="E91" s="8" t="n">
        <f aca="false">D91/7</f>
        <v>7.83112277199632</v>
      </c>
    </row>
    <row r="92" customFormat="false" ht="15" hidden="false" customHeight="true" outlineLevel="0" collapsed="false">
      <c r="A92" s="5" t="n">
        <v>89</v>
      </c>
      <c r="B92" s="8" t="n">
        <f aca="false">Assumptions!$C$10*A92^Assumptions!$C$11</f>
        <v>78.0850618300325</v>
      </c>
      <c r="C92" s="8" t="n">
        <f aca="false">C91+B92</f>
        <v>2818.97803202875</v>
      </c>
      <c r="D92" s="8" t="n">
        <f aca="false">C92/(Assumptions!$C$5*Assumptions!$C$6)</f>
        <v>56.3795606405749</v>
      </c>
      <c r="E92" s="8" t="n">
        <f aca="false">D92/7</f>
        <v>8.05422294865356</v>
      </c>
    </row>
    <row r="93" customFormat="false" ht="15" hidden="false" customHeight="true" outlineLevel="0" collapsed="false">
      <c r="A93" s="5" t="n">
        <v>90</v>
      </c>
      <c r="B93" s="8" t="n">
        <f aca="false">Assumptions!$C$10*A93^Assumptions!$C$11</f>
        <v>79.404792046828</v>
      </c>
      <c r="C93" s="8" t="n">
        <f aca="false">C92+B93</f>
        <v>2898.38282407557</v>
      </c>
      <c r="D93" s="8" t="n">
        <f aca="false">C93/(Assumptions!$C$5*Assumptions!$C$6)</f>
        <v>57.9676564815115</v>
      </c>
      <c r="E93" s="8" t="n">
        <f aca="false">D93/7</f>
        <v>8.28109378307307</v>
      </c>
    </row>
    <row r="94" customFormat="false" ht="15" hidden="false" customHeight="true" outlineLevel="0" collapsed="false">
      <c r="A94" s="5" t="n">
        <v>91</v>
      </c>
      <c r="B94" s="8" t="n">
        <f aca="false">Assumptions!$C$10*A94^Assumptions!$C$11</f>
        <v>80.7318746159161</v>
      </c>
      <c r="C94" s="8" t="n">
        <f aca="false">C93+B94</f>
        <v>2979.11469869149</v>
      </c>
      <c r="D94" s="8" t="n">
        <f aca="false">C94/(Assumptions!$C$5*Assumptions!$C$6)</f>
        <v>59.5822939738298</v>
      </c>
      <c r="E94" s="8" t="n">
        <f aca="false">D94/7</f>
        <v>8.51175628197569</v>
      </c>
    </row>
    <row r="95" customFormat="false" ht="15" hidden="false" customHeight="true" outlineLevel="0" collapsed="false">
      <c r="A95" s="5" t="n">
        <v>92</v>
      </c>
      <c r="B95" s="8" t="n">
        <f aca="false">Assumptions!$C$10*A95^Assumptions!$C$11</f>
        <v>82.0662690269273</v>
      </c>
      <c r="C95" s="8" t="n">
        <f aca="false">C94+B95</f>
        <v>3061.18096771842</v>
      </c>
      <c r="D95" s="8" t="n">
        <f aca="false">C95/(Assumptions!$C$5*Assumptions!$C$6)</f>
        <v>61.2236193543683</v>
      </c>
      <c r="E95" s="8" t="n">
        <f aca="false">D95/7</f>
        <v>8.74623133633834</v>
      </c>
    </row>
    <row r="96" customFormat="false" ht="15" hidden="false" customHeight="true" outlineLevel="0" collapsed="false">
      <c r="A96" s="5" t="n">
        <v>93</v>
      </c>
      <c r="B96" s="8" t="n">
        <f aca="false">Assumptions!$C$10*A96^Assumptions!$C$11</f>
        <v>83.4079354318281</v>
      </c>
      <c r="C96" s="8" t="n">
        <f aca="false">C95+B96</f>
        <v>3144.58890315025</v>
      </c>
      <c r="D96" s="8" t="n">
        <f aca="false">C96/(Assumptions!$C$5*Assumptions!$C$6)</f>
        <v>62.8917780630049</v>
      </c>
      <c r="E96" s="8" t="n">
        <f aca="false">D96/7</f>
        <v>8.98453972328642</v>
      </c>
    </row>
    <row r="97" customFormat="false" ht="15" hidden="false" customHeight="true" outlineLevel="0" collapsed="false">
      <c r="A97" s="5" t="n">
        <v>94</v>
      </c>
      <c r="B97" s="8" t="n">
        <f aca="false">Assumptions!$C$10*A97^Assumptions!$C$11</f>
        <v>84.7568346270671</v>
      </c>
      <c r="C97" s="8" t="n">
        <f aca="false">C96+B97</f>
        <v>3229.34573777731</v>
      </c>
      <c r="D97" s="8" t="n">
        <f aca="false">C97/(Assumptions!$C$5*Assumptions!$C$6)</f>
        <v>64.5869147555463</v>
      </c>
      <c r="E97" s="8" t="n">
        <f aca="false">D97/7</f>
        <v>9.22670210793518</v>
      </c>
    </row>
    <row r="98" customFormat="false" ht="15" hidden="false" customHeight="true" outlineLevel="0" collapsed="false">
      <c r="A98" s="5" t="n">
        <v>95</v>
      </c>
      <c r="B98" s="8" t="n">
        <f aca="false">Assumptions!$C$10*A98^Assumptions!$C$11</f>
        <v>86.1129280363872</v>
      </c>
      <c r="C98" s="8" t="n">
        <f aca="false">C97+B98</f>
        <v>3315.4586658137</v>
      </c>
      <c r="D98" s="8" t="n">
        <f aca="false">C98/(Assumptions!$C$5*Assumptions!$C$6)</f>
        <v>66.309173316274</v>
      </c>
      <c r="E98" s="8" t="n">
        <f aca="false">D98/7</f>
        <v>9.472739045182</v>
      </c>
    </row>
    <row r="99" customFormat="false" ht="15" hidden="false" customHeight="true" outlineLevel="0" collapsed="false">
      <c r="A99" s="5" t="n">
        <v>96</v>
      </c>
      <c r="B99" s="8" t="n">
        <f aca="false">Assumptions!$C$10*A99^Assumptions!$C$11</f>
        <v>87.4761776942729</v>
      </c>
      <c r="C99" s="8" t="n">
        <f aca="false">C98+B99</f>
        <v>3402.93484350797</v>
      </c>
      <c r="D99" s="8" t="n">
        <f aca="false">C99/(Assumptions!$C$5*Assumptions!$C$6)</f>
        <v>68.0586968701595</v>
      </c>
      <c r="E99" s="8" t="n">
        <f aca="false">D99/7</f>
        <v>9.72267098145135</v>
      </c>
    </row>
    <row r="100" customFormat="false" ht="15" hidden="false" customHeight="true" outlineLevel="0" collapsed="false">
      <c r="A100" s="5" t="n">
        <v>97</v>
      </c>
      <c r="B100" s="8" t="n">
        <f aca="false">Assumptions!$C$10*A100^Assumptions!$C$11</f>
        <v>88.8465462300027</v>
      </c>
      <c r="C100" s="8" t="n">
        <f aca="false">C99+B100</f>
        <v>3491.78138973798</v>
      </c>
      <c r="D100" s="8" t="n">
        <f aca="false">C100/(Assumptions!$C$5*Assumptions!$C$6)</f>
        <v>69.8356277947595</v>
      </c>
      <c r="E100" s="8" t="n">
        <f aca="false">D100/7</f>
        <v>9.97651825639422</v>
      </c>
    </row>
    <row r="101" customFormat="false" ht="15" hidden="false" customHeight="true" outlineLevel="0" collapsed="false">
      <c r="A101" s="5" t="n">
        <v>98</v>
      </c>
      <c r="B101" s="8" t="n">
        <f aca="false">Assumptions!$C$10*A101^Assumptions!$C$11</f>
        <v>90.2239968522787</v>
      </c>
      <c r="C101" s="8" t="n">
        <f aca="false">C100+B101</f>
        <v>3582.00538659025</v>
      </c>
      <c r="D101" s="8" t="n">
        <f aca="false">C101/(Assumptions!$C$5*Assumptions!$C$6)</f>
        <v>71.6401077318051</v>
      </c>
      <c r="E101" s="8" t="n">
        <f aca="false">D101/7</f>
        <v>10.2343011045436</v>
      </c>
    </row>
    <row r="102" customFormat="false" ht="15" hidden="false" customHeight="true" outlineLevel="0" collapsed="false">
      <c r="A102" s="5" t="n">
        <v>99</v>
      </c>
      <c r="B102" s="8" t="n">
        <f aca="false">Assumptions!$C$10*A102^Assumptions!$C$11</f>
        <v>91.6084933344065</v>
      </c>
      <c r="C102" s="8" t="n">
        <f aca="false">C101+B102</f>
        <v>3673.61387992466</v>
      </c>
      <c r="D102" s="8" t="n">
        <f aca="false">C102/(Assumptions!$C$5*Assumptions!$C$6)</f>
        <v>73.4722775984932</v>
      </c>
      <c r="E102" s="8" t="n">
        <f aca="false">D102/7</f>
        <v>10.4960396569276</v>
      </c>
    </row>
    <row r="103" customFormat="false" ht="15" hidden="false" customHeight="true" outlineLevel="0" collapsed="false">
      <c r="A103" s="5" t="n">
        <v>100</v>
      </c>
      <c r="B103" s="8" t="n">
        <f aca="false">Assumptions!$C$10*A103^Assumptions!$C$11</f>
        <v>93</v>
      </c>
      <c r="C103" s="8" t="n">
        <f aca="false">C102+B103</f>
        <v>3766.61387992466</v>
      </c>
      <c r="D103" s="8" t="n">
        <f aca="false">C103/(Assumptions!$C$5*Assumptions!$C$6)</f>
        <v>75.3322775984932</v>
      </c>
      <c r="E103" s="8" t="n">
        <f aca="false">D103/7</f>
        <v>10.7617539426419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" t="s">
        <v>41</v>
      </c>
    </row>
    <row r="3" customFormat="false" ht="15" hidden="false" customHeight="true" outlineLevel="0" collapsed="false">
      <c r="A3" s="4" t="s">
        <v>42</v>
      </c>
      <c r="B3" s="4"/>
      <c r="C3" s="4"/>
      <c r="D3" s="4"/>
      <c r="E3" s="4"/>
      <c r="F3" s="4"/>
    </row>
    <row r="4" customFormat="false" ht="15" hidden="false" customHeight="true" outlineLevel="0" collapsed="false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</row>
    <row r="5" customFormat="false" ht="15" hidden="false" customHeight="true" outlineLevel="0" collapsed="false">
      <c r="A5" s="5" t="s">
        <v>49</v>
      </c>
      <c r="B5" s="9" t="n">
        <v>0.7</v>
      </c>
      <c r="C5" s="10" t="n">
        <v>1</v>
      </c>
      <c r="D5" s="10" t="n">
        <v>2</v>
      </c>
      <c r="E5" s="11" t="n">
        <f aca="false">(C5+D5)/2</f>
        <v>1.5</v>
      </c>
      <c r="F5" s="12" t="n">
        <f aca="false">B5*E5</f>
        <v>1.05</v>
      </c>
    </row>
    <row r="6" customFormat="false" ht="15" hidden="false" customHeight="true" outlineLevel="0" collapsed="false">
      <c r="A6" s="5" t="s">
        <v>50</v>
      </c>
      <c r="B6" s="9" t="n">
        <v>0.2</v>
      </c>
      <c r="C6" s="10" t="n">
        <v>3</v>
      </c>
      <c r="D6" s="10" t="n">
        <v>5</v>
      </c>
      <c r="E6" s="11" t="n">
        <f aca="false">(C6+D6)/2</f>
        <v>4</v>
      </c>
      <c r="F6" s="12" t="n">
        <f aca="false">B6*E6</f>
        <v>0.8</v>
      </c>
    </row>
    <row r="7" customFormat="false" ht="15" hidden="false" customHeight="true" outlineLevel="0" collapsed="false">
      <c r="A7" s="5" t="s">
        <v>51</v>
      </c>
      <c r="B7" s="9" t="n">
        <v>0.08</v>
      </c>
      <c r="C7" s="10" t="n">
        <v>6</v>
      </c>
      <c r="D7" s="10" t="n">
        <v>10</v>
      </c>
      <c r="E7" s="11" t="n">
        <f aca="false">(C7+D7)/2</f>
        <v>8</v>
      </c>
      <c r="F7" s="12" t="n">
        <f aca="false">B7*E7</f>
        <v>0.64</v>
      </c>
    </row>
    <row r="8" customFormat="false" ht="15" hidden="false" customHeight="true" outlineLevel="0" collapsed="false">
      <c r="A8" s="5" t="s">
        <v>52</v>
      </c>
      <c r="B8" s="9" t="n">
        <v>0.02</v>
      </c>
      <c r="C8" s="10" t="n">
        <v>20</v>
      </c>
      <c r="D8" s="10" t="n">
        <v>40</v>
      </c>
      <c r="E8" s="11" t="n">
        <f aca="false">(C8+D8)/2</f>
        <v>30</v>
      </c>
      <c r="F8" s="12" t="n">
        <f aca="false">B8*E8</f>
        <v>0.6</v>
      </c>
    </row>
    <row r="9" customFormat="false" ht="15" hidden="false" customHeight="true" outlineLevel="0" collapsed="false">
      <c r="A9" s="13" t="s">
        <v>53</v>
      </c>
      <c r="B9" s="14" t="n">
        <f aca="false">SUM(B5:B8)</f>
        <v>1</v>
      </c>
      <c r="F9" s="15" t="n">
        <f aca="false">SUM(F5:F8)</f>
        <v>3.09</v>
      </c>
    </row>
    <row r="11" customFormat="false" ht="15" hidden="false" customHeight="true" outlineLevel="0" collapsed="false">
      <c r="A11" s="4" t="s">
        <v>54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5" t="s">
        <v>55</v>
      </c>
      <c r="B12" s="16" t="n">
        <f aca="false">F9</f>
        <v>3.09</v>
      </c>
    </row>
    <row r="13" customFormat="false" ht="15" hidden="false" customHeight="true" outlineLevel="0" collapsed="false">
      <c r="A13" s="5" t="s">
        <v>56</v>
      </c>
      <c r="B13" s="17" t="n">
        <f aca="false">F9*Assumptions!C15</f>
        <v>309</v>
      </c>
      <c r="D13" s="3" t="s">
        <v>57</v>
      </c>
    </row>
    <row r="14" customFormat="false" ht="15" hidden="false" customHeight="true" outlineLevel="0" collapsed="false">
      <c r="A14" s="5" t="s">
        <v>58</v>
      </c>
      <c r="B14" s="17" t="n">
        <f aca="false">Assumptions!C16</f>
        <v>250</v>
      </c>
    </row>
    <row r="15" customFormat="false" ht="15" hidden="false" customHeight="true" outlineLevel="0" collapsed="false">
      <c r="A15" s="5" t="s">
        <v>59</v>
      </c>
      <c r="B15" s="17" t="n">
        <f aca="false">B13-B14</f>
        <v>59</v>
      </c>
      <c r="D15" s="3" t="s">
        <v>60</v>
      </c>
    </row>
    <row r="16" customFormat="false" ht="15" hidden="false" customHeight="true" outlineLevel="0" collapsed="false">
      <c r="A16" s="5" t="s">
        <v>61</v>
      </c>
      <c r="B16" s="18" t="n">
        <f aca="false">Assumptions!C22/B13</f>
        <v>11.3268608414239</v>
      </c>
    </row>
    <row r="17" customFormat="false" ht="15" hidden="false" customHeight="true" outlineLevel="0" collapsed="false">
      <c r="A17" s="5" t="s">
        <v>62</v>
      </c>
      <c r="B17" s="18" t="n">
        <f aca="false">B16/7</f>
        <v>1.61812297734628</v>
      </c>
    </row>
  </sheetData>
  <mergeCells count="2"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</cols>
  <sheetData>
    <row r="1" customFormat="false" ht="17.25" hidden="false" customHeight="true" outlineLevel="0" collapsed="false">
      <c r="A1" s="2" t="s">
        <v>63</v>
      </c>
    </row>
    <row r="3" customFormat="false" ht="15" hidden="false" customHeight="true" outlineLevel="0" collapsed="false">
      <c r="A3" s="3" t="s">
        <v>64</v>
      </c>
    </row>
    <row r="4" customFormat="false" ht="15" hidden="false" customHeight="true" outlineLevel="0" collapsed="false">
      <c r="A4" s="3" t="s">
        <v>65</v>
      </c>
    </row>
    <row r="6" customFormat="false" ht="15" hidden="false" customHeight="true" outlineLevel="0" collapsed="false">
      <c r="A6" s="7" t="s">
        <v>66</v>
      </c>
      <c r="B6" s="7" t="s">
        <v>67</v>
      </c>
      <c r="C6" s="7" t="s">
        <v>68</v>
      </c>
      <c r="D6" s="7" t="s">
        <v>69</v>
      </c>
    </row>
    <row r="7" customFormat="false" ht="15" hidden="false" customHeight="true" outlineLevel="0" collapsed="false">
      <c r="A7" s="5" t="s">
        <v>70</v>
      </c>
      <c r="B7" s="19" t="n">
        <v>2</v>
      </c>
      <c r="C7" s="6" t="n">
        <v>1</v>
      </c>
      <c r="D7" s="12" t="n">
        <f aca="false">IF(C7=1,B7-1,0)</f>
        <v>1</v>
      </c>
    </row>
    <row r="8" customFormat="false" ht="15" hidden="false" customHeight="true" outlineLevel="0" collapsed="false">
      <c r="A8" s="5" t="s">
        <v>71</v>
      </c>
      <c r="B8" s="19" t="n">
        <v>2</v>
      </c>
      <c r="C8" s="6" t="n">
        <v>1</v>
      </c>
      <c r="D8" s="12" t="n">
        <f aca="false">IF(C8=1,B8-1,0)</f>
        <v>1</v>
      </c>
    </row>
    <row r="9" customFormat="false" ht="15" hidden="false" customHeight="true" outlineLevel="0" collapsed="false">
      <c r="A9" s="5" t="s">
        <v>72</v>
      </c>
      <c r="B9" s="19" t="n">
        <v>1.3</v>
      </c>
      <c r="C9" s="6" t="n">
        <v>1</v>
      </c>
      <c r="D9" s="12" t="n">
        <f aca="false">IF(C9=1,B9-1,0)</f>
        <v>0.3</v>
      </c>
    </row>
    <row r="10" customFormat="false" ht="15" hidden="false" customHeight="true" outlineLevel="0" collapsed="false">
      <c r="A10" s="5" t="s">
        <v>73</v>
      </c>
      <c r="B10" s="19" t="n">
        <v>1.05</v>
      </c>
      <c r="C10" s="6" t="n">
        <v>1</v>
      </c>
      <c r="D10" s="12" t="n">
        <f aca="false">IF(C10=1,B10-1,0)</f>
        <v>0.05</v>
      </c>
    </row>
    <row r="12" customFormat="false" ht="15" hidden="false" customHeight="true" outlineLevel="0" collapsed="false">
      <c r="A12" s="13" t="s">
        <v>74</v>
      </c>
      <c r="D12" s="12" t="n">
        <f aca="false">SUM(D7:D10)</f>
        <v>2.35</v>
      </c>
    </row>
    <row r="14" customFormat="false" ht="15" hidden="false" customHeight="true" outlineLevel="0" collapsed="false">
      <c r="A14" s="4" t="s">
        <v>75</v>
      </c>
      <c r="B14" s="4"/>
      <c r="C14" s="4"/>
      <c r="D14" s="4"/>
    </row>
    <row r="15" customFormat="false" ht="15" hidden="false" customHeight="true" outlineLevel="0" collapsed="false">
      <c r="A15" s="5" t="s">
        <v>76</v>
      </c>
      <c r="B15" s="20" t="n">
        <f aca="false">PRODUCT(IF(C7=1,B7,1),IF(C8=1,B8,1),IF(C9=1,B9,1),IF(C10=1,B10,1))</f>
        <v>5.46</v>
      </c>
    </row>
    <row r="16" customFormat="false" ht="15" hidden="false" customHeight="true" outlineLevel="0" collapsed="false">
      <c r="A16" s="5" t="s">
        <v>77</v>
      </c>
      <c r="B16" s="16" t="n">
        <f aca="false">Assumptions!C19</f>
        <v>1</v>
      </c>
    </row>
    <row r="17" customFormat="false" ht="15" hidden="false" customHeight="true" outlineLevel="0" collapsed="false">
      <c r="A17" s="5" t="s">
        <v>78</v>
      </c>
      <c r="B17" s="21" t="n">
        <f aca="false">1+MIN(D12,Assumptions!C19)</f>
        <v>2</v>
      </c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8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79</v>
      </c>
    </row>
    <row r="2" customFormat="false" ht="15" hidden="false" customHeight="true" outlineLevel="0" collapsed="false">
      <c r="A2" s="3" t="s">
        <v>80</v>
      </c>
    </row>
    <row r="4" customFormat="false" ht="15" hidden="false" customHeight="true" outlineLevel="0" collapsed="false">
      <c r="A4" s="7" t="s">
        <v>81</v>
      </c>
      <c r="B4" s="7" t="s">
        <v>82</v>
      </c>
      <c r="C4" s="7" t="s">
        <v>83</v>
      </c>
      <c r="D4" s="7" t="s">
        <v>84</v>
      </c>
      <c r="E4" s="7" t="s">
        <v>4</v>
      </c>
      <c r="F4" s="7" t="s">
        <v>85</v>
      </c>
      <c r="G4" s="7" t="s">
        <v>86</v>
      </c>
    </row>
    <row r="5" customFormat="false" ht="15" hidden="false" customHeight="true" outlineLevel="0" collapsed="false">
      <c r="A5" s="5" t="s">
        <v>87</v>
      </c>
      <c r="B5" s="5" t="s">
        <v>88</v>
      </c>
      <c r="C5" s="22" t="n">
        <v>0.2</v>
      </c>
      <c r="D5" s="22" t="n">
        <v>1</v>
      </c>
      <c r="E5" s="23" t="n">
        <f aca="false">Assumptions!$C$5*C5*D5</f>
        <v>2</v>
      </c>
      <c r="F5" s="11" t="n">
        <f aca="false">G5*Loot_Economy!$F$9</f>
        <v>3.47191011235955</v>
      </c>
      <c r="G5" s="11" t="n">
        <f aca="false">Assumptions!$C$15*(C5*D5)/SUMPRODUCT($C$5:$C$13,$D$5:$D$13)</f>
        <v>1.12359550561798</v>
      </c>
    </row>
    <row r="6" customFormat="false" ht="15" hidden="false" customHeight="true" outlineLevel="0" collapsed="false">
      <c r="A6" s="5" t="s">
        <v>89</v>
      </c>
      <c r="B6" s="5" t="s">
        <v>88</v>
      </c>
      <c r="C6" s="22" t="n">
        <v>0.2</v>
      </c>
      <c r="D6" s="22" t="n">
        <v>1</v>
      </c>
      <c r="E6" s="23" t="n">
        <f aca="false">Assumptions!$C$5*C6*D6</f>
        <v>2</v>
      </c>
      <c r="F6" s="11" t="n">
        <f aca="false">G6*Loot_Economy!$F$9</f>
        <v>3.47191011235955</v>
      </c>
      <c r="G6" s="11" t="n">
        <f aca="false">Assumptions!$C$15*(C6*D6)/SUMPRODUCT($C$5:$C$13,$D$5:$D$13)</f>
        <v>1.12359550561798</v>
      </c>
    </row>
    <row r="7" customFormat="false" ht="15" hidden="false" customHeight="true" outlineLevel="0" collapsed="false">
      <c r="A7" s="5" t="s">
        <v>90</v>
      </c>
      <c r="B7" s="5" t="s">
        <v>91</v>
      </c>
      <c r="C7" s="22" t="n">
        <v>0.5</v>
      </c>
      <c r="D7" s="22" t="n">
        <v>1</v>
      </c>
      <c r="E7" s="23" t="n">
        <f aca="false">Assumptions!$C$5*C7*D7</f>
        <v>5</v>
      </c>
      <c r="F7" s="11" t="n">
        <f aca="false">G7*Loot_Economy!$F$9</f>
        <v>8.67977528089888</v>
      </c>
      <c r="G7" s="11" t="n">
        <f aca="false">Assumptions!$C$15*(C7*D7)/SUMPRODUCT($C$5:$C$13,$D$5:$D$13)</f>
        <v>2.80898876404494</v>
      </c>
    </row>
    <row r="8" customFormat="false" ht="15" hidden="false" customHeight="true" outlineLevel="0" collapsed="false">
      <c r="A8" s="5" t="s">
        <v>92</v>
      </c>
      <c r="B8" s="5" t="s">
        <v>91</v>
      </c>
      <c r="C8" s="22" t="n">
        <v>0.6</v>
      </c>
      <c r="D8" s="22" t="n">
        <v>1</v>
      </c>
      <c r="E8" s="23" t="n">
        <f aca="false">Assumptions!$C$5*C8*D8</f>
        <v>6</v>
      </c>
      <c r="F8" s="11" t="n">
        <f aca="false">G8*Loot_Economy!$F$9</f>
        <v>10.4157303370787</v>
      </c>
      <c r="G8" s="11" t="n">
        <f aca="false">Assumptions!$C$15*(C8*D8)/SUMPRODUCT($C$5:$C$13,$D$5:$D$13)</f>
        <v>3.37078651685393</v>
      </c>
    </row>
    <row r="9" customFormat="false" ht="15" hidden="false" customHeight="true" outlineLevel="0" collapsed="false">
      <c r="A9" s="5" t="s">
        <v>93</v>
      </c>
      <c r="B9" s="5" t="s">
        <v>91</v>
      </c>
      <c r="C9" s="22" t="n">
        <v>1</v>
      </c>
      <c r="D9" s="22" t="n">
        <v>1.5</v>
      </c>
      <c r="E9" s="23" t="n">
        <f aca="false">Assumptions!$C$5*C9*D9</f>
        <v>15</v>
      </c>
      <c r="F9" s="11" t="n">
        <f aca="false">G9*Loot_Economy!$F$9</f>
        <v>26.0393258426966</v>
      </c>
      <c r="G9" s="11" t="n">
        <f aca="false">Assumptions!$C$15*(C9*D9)/SUMPRODUCT($C$5:$C$13,$D$5:$D$13)</f>
        <v>8.42696629213483</v>
      </c>
    </row>
    <row r="10" customFormat="false" ht="15" hidden="false" customHeight="true" outlineLevel="0" collapsed="false">
      <c r="A10" s="5" t="s">
        <v>94</v>
      </c>
      <c r="B10" s="5" t="s">
        <v>95</v>
      </c>
      <c r="C10" s="22" t="n">
        <v>1.2</v>
      </c>
      <c r="D10" s="22" t="n">
        <v>1.5</v>
      </c>
      <c r="E10" s="23" t="n">
        <f aca="false">Assumptions!$C$5*C10*D10</f>
        <v>18</v>
      </c>
      <c r="F10" s="11" t="n">
        <f aca="false">G10*Loot_Economy!$F$9</f>
        <v>31.2471910112359</v>
      </c>
      <c r="G10" s="11" t="n">
        <f aca="false">Assumptions!$C$15*(C10*D10)/SUMPRODUCT($C$5:$C$13,$D$5:$D$13)</f>
        <v>10.1123595505618</v>
      </c>
    </row>
    <row r="11" customFormat="false" ht="15" hidden="false" customHeight="true" outlineLevel="0" collapsed="false">
      <c r="A11" s="5" t="s">
        <v>96</v>
      </c>
      <c r="B11" s="5" t="s">
        <v>95</v>
      </c>
      <c r="C11" s="22" t="n">
        <v>2</v>
      </c>
      <c r="D11" s="22" t="n">
        <v>1.5</v>
      </c>
      <c r="E11" s="23" t="n">
        <f aca="false">Assumptions!$C$5*C11*D11</f>
        <v>30</v>
      </c>
      <c r="F11" s="11" t="n">
        <f aca="false">G11*Loot_Economy!$F$9</f>
        <v>52.0786516853933</v>
      </c>
      <c r="G11" s="11" t="n">
        <f aca="false">Assumptions!$C$15*(C11*D11)/SUMPRODUCT($C$5:$C$13,$D$5:$D$13)</f>
        <v>16.8539325842697</v>
      </c>
    </row>
    <row r="12" customFormat="false" ht="15" hidden="false" customHeight="true" outlineLevel="0" collapsed="false">
      <c r="A12" s="5" t="s">
        <v>97</v>
      </c>
      <c r="B12" s="5" t="s">
        <v>95</v>
      </c>
      <c r="C12" s="22" t="n">
        <v>2</v>
      </c>
      <c r="D12" s="22" t="n">
        <v>2</v>
      </c>
      <c r="E12" s="23" t="n">
        <f aca="false">Assumptions!$C$5*C12*D12</f>
        <v>40</v>
      </c>
      <c r="F12" s="11" t="n">
        <f aca="false">G12*Loot_Economy!$F$9</f>
        <v>69.438202247191</v>
      </c>
      <c r="G12" s="11" t="n">
        <f aca="false">Assumptions!$C$15*(C12*D12)/SUMPRODUCT($C$5:$C$13,$D$5:$D$13)</f>
        <v>22.4719101123596</v>
      </c>
    </row>
    <row r="13" customFormat="false" ht="15" hidden="false" customHeight="true" outlineLevel="0" collapsed="false">
      <c r="A13" s="5" t="s">
        <v>98</v>
      </c>
      <c r="B13" s="5" t="s">
        <v>95</v>
      </c>
      <c r="C13" s="22" t="n">
        <v>3</v>
      </c>
      <c r="D13" s="22" t="n">
        <v>2</v>
      </c>
      <c r="E13" s="23" t="n">
        <f aca="false">Assumptions!$C$5*C13*D13</f>
        <v>60</v>
      </c>
      <c r="F13" s="11" t="n">
        <f aca="false">G13*Loot_Economy!$F$9</f>
        <v>104.157303370787</v>
      </c>
      <c r="G13" s="11" t="n">
        <f aca="false">Assumptions!$C$15*(C13*D13)/SUMPRODUCT($C$5:$C$13,$D$5:$D$13)</f>
        <v>33.7078651685393</v>
      </c>
    </row>
    <row r="15" customFormat="false" ht="15" hidden="false" customHeight="true" outlineLevel="0" collapsed="false">
      <c r="A15" s="13" t="s">
        <v>99</v>
      </c>
      <c r="E15" s="24" t="n">
        <f aca="false">SUM(E5:E13)</f>
        <v>178</v>
      </c>
      <c r="F15" s="24" t="n">
        <f aca="false">SUM(F5:F13)</f>
        <v>309</v>
      </c>
      <c r="G15" s="24" t="n">
        <f aca="false">SUM(G5:G13)</f>
        <v>100</v>
      </c>
    </row>
    <row r="16" customFormat="false" ht="15" hidden="false" customHeight="true" outlineLevel="0" collapsed="false">
      <c r="A16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2026-05-28T11:38:20Z</dcterms:created>
  <dc:creator>openpyxl</dc:creator>
  <dc:description/>
  <dc:language>en-US</dc:language>
  <cp:lastModifiedBy/>
  <dcterms:modified xsi:type="dcterms:W3CDTF">2026-05-28T12:16:49Z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